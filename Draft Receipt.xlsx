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nthan N\Desktop\"/>
    </mc:Choice>
  </mc:AlternateContent>
  <xr:revisionPtr revIDLastSave="0" documentId="13_ncr:1_{32DA77EA-9FD8-4C95-A534-0ADC76A2F4FB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G16" i="1"/>
  <c r="H14" i="1"/>
  <c r="E12" i="1"/>
  <c r="C13" i="1"/>
  <c r="J10" i="1" l="1"/>
</calcChain>
</file>

<file path=xl/sharedStrings.xml><?xml version="1.0" encoding="utf-8"?>
<sst xmlns="http://schemas.openxmlformats.org/spreadsheetml/2006/main" count="18" uniqueCount="18">
  <si>
    <t>(Reg. Under the Society's Reg. Act 1960 No. 26/76 G.B.B.S.D. Bombay)</t>
  </si>
  <si>
    <t>(Reg. Under the Bombay Public Trust  Act 1950 No. F3873 Bombay)</t>
  </si>
  <si>
    <t>Admn. Office : G-2, Nav Haridarshan CHS. Ltd., Jai Hind Colony, G. Gupte Road, Dombivli (West) 421 201. Tel.: 2408123</t>
  </si>
  <si>
    <t>(I.T. Exemption No. THN/ CIT-I/Tech-I/80 G/389/2007-08/3031)</t>
  </si>
  <si>
    <t>Receipt No.</t>
  </si>
  <si>
    <t>Cheques are subjects to realisation</t>
  </si>
  <si>
    <t>For Bombay Yogakshema Sabha (Regd.)</t>
  </si>
  <si>
    <t>Secretary / Treasurer</t>
  </si>
  <si>
    <t>BOMBAY YOGAKSHEMA SABHA (Regd.)</t>
  </si>
  <si>
    <t>Received with thanks from Mr. / Mrs. / M/s.</t>
  </si>
  <si>
    <t>PAN No. AAAAB4113E</t>
  </si>
  <si>
    <t>the sum of</t>
  </si>
  <si>
    <t>by</t>
  </si>
  <si>
    <t>Cash / Cheque / D.D. No.</t>
  </si>
  <si>
    <t>Branch ______________________________</t>
  </si>
  <si>
    <t>towards</t>
  </si>
  <si>
    <t>dated _______________________ drawn on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</si>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</sst>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10" xfId="0" applyFont="1" applyBorder="1"/>
    <xf numFmtId="0" fontId="0" fillId="0" borderId="11" xfId="0" applyBorder="1"/>
    <xf numFmtId="0" fontId="5" fillId="0" borderId="0" xfId="0" applyFont="1" applyBorder="1"/>
    <xf numFmtId="0" fontId="5" fillId="0" borderId="0" xfId="0" applyFont="1"/>
    <xf numFmtId="0" fontId="1" fillId="0" borderId="11" xfId="0" applyFont="1" applyBorder="1" applyAlignment="1">
      <alignment horizontal="center"/>
    </xf>
    <xf numFmtId="0" fontId="0" fillId="0" borderId="10" xfId="0" applyBorder="1"/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19</xdr:row>
      <xdr:rowOff>133350</xdr:rowOff>
    </xdr:from>
    <xdr:to>
      <xdr:col>9</xdr:col>
      <xdr:colOff>781050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771900"/>
          <a:ext cx="120015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ld%20Laptop\Documents\2024-25\For%20Receipt%20&amp;%20Voucher%2024-25.xlsx" TargetMode="External"/><Relationship Id="rId1" Type="http://schemas.openxmlformats.org/officeDocument/2006/relationships/externalLinkPath" Target="/Old%20Laptop/Documents/2024-25/For%20Receipt%20&amp;%20Voucher%2024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yanthan%20N\Desktop\Draft.xlsx" TargetMode="External"/><Relationship Id="rId1" Type="http://schemas.openxmlformats.org/officeDocument/2006/relationships/externalLinkPath" Target="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eipts"/>
    </sheetNames>
    <sheetDataSet>
      <sheetData sheetId="0">
        <row r="1">
          <cell r="A1" t="str">
            <v>Receipt No.</v>
          </cell>
          <cell r="B1" t="str">
            <v>Towards</v>
          </cell>
          <cell r="D1" t="str">
            <v>Received From</v>
          </cell>
          <cell r="E1" t="str">
            <v>DATE</v>
          </cell>
          <cell r="F1" t="str">
            <v>NARATION</v>
          </cell>
          <cell r="G1" t="str">
            <v>COD</v>
          </cell>
          <cell r="H1" t="str">
            <v>DEBIT</v>
          </cell>
          <cell r="I1" t="str">
            <v>CREDIT</v>
          </cell>
        </row>
        <row r="2">
          <cell r="A2">
            <v>480</v>
          </cell>
          <cell r="B2" t="str">
            <v>Donation - Anudanid Ashamrashala</v>
          </cell>
          <cell r="C2" t="str">
            <v>Charity</v>
          </cell>
          <cell r="D2" t="str">
            <v>Ajit K Mullamangalam</v>
          </cell>
          <cell r="E2">
            <v>45420</v>
          </cell>
          <cell r="F2" t="str">
            <v>UPI/412904995988/CR/AJIT KMULLAMANGA/CNR/CONTRIB</v>
          </cell>
          <cell r="G2" t="str">
            <v>NEFT</v>
          </cell>
          <cell r="I2">
            <v>2000</v>
          </cell>
          <cell r="J2" t="str">
            <v>Rs. 2000/-</v>
          </cell>
          <cell r="K2" t="str">
            <v>Rupees Two Thousand</v>
          </cell>
          <cell r="L2" t="str">
            <v>Rupees Two Thousand only</v>
          </cell>
        </row>
        <row r="3">
          <cell r="A3">
            <v>481</v>
          </cell>
          <cell r="B3" t="str">
            <v>Donation - Anudanid Ashamrashala</v>
          </cell>
          <cell r="C3" t="str">
            <v>Charity</v>
          </cell>
          <cell r="D3" t="str">
            <v>Ravi P M</v>
          </cell>
          <cell r="E3">
            <v>45420</v>
          </cell>
          <cell r="F3" t="str">
            <v>UPI/412910516224/CR/PAZHAYATHMANA R/SBI/UPI</v>
          </cell>
          <cell r="G3" t="str">
            <v>NEFT</v>
          </cell>
          <cell r="I3">
            <v>1000</v>
          </cell>
          <cell r="J3" t="str">
            <v>Rs. 1000/-</v>
          </cell>
          <cell r="K3" t="str">
            <v>Rupees One Thousand</v>
          </cell>
          <cell r="L3" t="str">
            <v>Rupees One Thousand only</v>
          </cell>
        </row>
        <row r="4">
          <cell r="A4">
            <v>482</v>
          </cell>
          <cell r="B4" t="str">
            <v>Donation - Anudanid Ashamrashala</v>
          </cell>
          <cell r="C4" t="str">
            <v>Charity</v>
          </cell>
          <cell r="D4" t="str">
            <v>Vishnu Vembliyath</v>
          </cell>
          <cell r="E4">
            <v>45421</v>
          </cell>
          <cell r="F4" t="str">
            <v>UPI/413011700641/CR/VEMBLIYATHVISHNU/BAR/FINANCI</v>
          </cell>
          <cell r="G4" t="str">
            <v>NEFT</v>
          </cell>
          <cell r="I4">
            <v>2000</v>
          </cell>
          <cell r="J4" t="str">
            <v>Rs. 2000/-</v>
          </cell>
          <cell r="K4" t="str">
            <v>Rupees Two Thousand</v>
          </cell>
          <cell r="L4" t="str">
            <v>Rupees Two Thousand only</v>
          </cell>
        </row>
        <row r="5">
          <cell r="A5">
            <v>483</v>
          </cell>
          <cell r="B5" t="str">
            <v>Donation - Anudanid Ashamrashala</v>
          </cell>
          <cell r="C5" t="str">
            <v>Charity</v>
          </cell>
          <cell r="D5" t="str">
            <v>Suresh Narayanan Aryanamangalam</v>
          </cell>
          <cell r="E5">
            <v>45422</v>
          </cell>
          <cell r="F5" t="str">
            <v>NEFT-UTIB-AXOIR13160042468-SURESH NAR-FOR CHARITY</v>
          </cell>
          <cell r="G5" t="str">
            <v>NEFT</v>
          </cell>
          <cell r="I5">
            <v>2000</v>
          </cell>
          <cell r="J5" t="str">
            <v>Rs. 2000/-</v>
          </cell>
          <cell r="K5" t="str">
            <v>Rupees Two Thousand</v>
          </cell>
          <cell r="L5" t="str">
            <v>Rupees Two Thousand only</v>
          </cell>
        </row>
        <row r="6">
          <cell r="A6">
            <v>484</v>
          </cell>
          <cell r="B6" t="str">
            <v>Donation - Anudanid Ashamrashala</v>
          </cell>
          <cell r="C6" t="str">
            <v>Charity</v>
          </cell>
          <cell r="D6" t="str">
            <v>Pratik Namboodiri</v>
          </cell>
          <cell r="E6">
            <v>45422</v>
          </cell>
          <cell r="F6" t="str">
            <v>UPI/413113031958/CR/PRATIKNAMBOODI/HDF/PAYMENT</v>
          </cell>
          <cell r="G6" t="str">
            <v>NEFT</v>
          </cell>
          <cell r="I6">
            <v>5000</v>
          </cell>
          <cell r="J6" t="str">
            <v>Rs. 5000/-</v>
          </cell>
          <cell r="K6" t="str">
            <v>Rupees Five Thousand</v>
          </cell>
          <cell r="L6" t="str">
            <v>Rupees Five Thousand only</v>
          </cell>
        </row>
        <row r="7">
          <cell r="A7">
            <v>485</v>
          </cell>
          <cell r="B7" t="str">
            <v>Donation - Anudanid Ashamrashala</v>
          </cell>
          <cell r="C7" t="str">
            <v>Charity</v>
          </cell>
          <cell r="D7" t="str">
            <v>Babu Payyappandal</v>
          </cell>
          <cell r="E7">
            <v>45424</v>
          </cell>
          <cell r="F7" t="str">
            <v>NEFT-HDFC-N133243035469538-KESHAVKUMA-CHARITY</v>
          </cell>
          <cell r="G7" t="str">
            <v>NEFT</v>
          </cell>
          <cell r="I7">
            <v>3000</v>
          </cell>
          <cell r="J7" t="str">
            <v>Rs. 3000/-</v>
          </cell>
          <cell r="K7" t="str">
            <v>Rupees Three Thousand</v>
          </cell>
          <cell r="L7" t="str">
            <v>Rupees Three Thousand only</v>
          </cell>
        </row>
        <row r="8">
          <cell r="A8">
            <v>486</v>
          </cell>
          <cell r="B8" t="str">
            <v>Donation - Anudanid Ashamrashala</v>
          </cell>
          <cell r="C8" t="str">
            <v>Charity</v>
          </cell>
          <cell r="D8" t="str">
            <v>Ravindran K P</v>
          </cell>
          <cell r="E8">
            <v>45424</v>
          </cell>
          <cell r="F8" t="str">
            <v>TRTR/413315057497/IMPS/RAVINDRAN KODUMUNDA PISHAR</v>
          </cell>
          <cell r="G8" t="str">
            <v>NEFT</v>
          </cell>
          <cell r="I8">
            <v>2000</v>
          </cell>
          <cell r="J8" t="str">
            <v>Rs. 2000/-</v>
          </cell>
          <cell r="K8" t="str">
            <v>Rupees Two Thousand</v>
          </cell>
          <cell r="L8" t="str">
            <v>Rupees Two Thousand only</v>
          </cell>
        </row>
        <row r="9">
          <cell r="A9">
            <v>487</v>
          </cell>
          <cell r="B9" t="str">
            <v>Donation - Anudanid Ashamrashala</v>
          </cell>
          <cell r="C9" t="str">
            <v>Charity</v>
          </cell>
          <cell r="D9" t="str">
            <v>Dr. A J Parameshwaran</v>
          </cell>
          <cell r="E9">
            <v>45424</v>
          </cell>
          <cell r="F9" t="str">
            <v>UPI/413320776722/CR/MRARYAMPILLYJPARA/CBI/DONATIO</v>
          </cell>
          <cell r="G9" t="str">
            <v>NEFT</v>
          </cell>
          <cell r="I9">
            <v>5000</v>
          </cell>
          <cell r="J9" t="str">
            <v>Rs. 5000/-</v>
          </cell>
          <cell r="K9" t="str">
            <v>Rupees Five Thousand</v>
          </cell>
          <cell r="L9" t="str">
            <v>Rupees Five Thousand only</v>
          </cell>
        </row>
        <row r="10">
          <cell r="A10">
            <v>488</v>
          </cell>
          <cell r="B10" t="str">
            <v>Donation - Anudanid Ashamrashala</v>
          </cell>
          <cell r="C10" t="str">
            <v>Charity</v>
          </cell>
          <cell r="D10" t="str">
            <v>Sureshkrishnan Namboodiri</v>
          </cell>
          <cell r="E10">
            <v>45425</v>
          </cell>
          <cell r="F10" t="str">
            <v>TRTR/413408406539/IMPS/SURESHKRISHNAN NAMB</v>
          </cell>
          <cell r="G10" t="str">
            <v>NEFT</v>
          </cell>
          <cell r="I10">
            <v>3000</v>
          </cell>
          <cell r="J10" t="str">
            <v>Rs. 3000/-</v>
          </cell>
          <cell r="K10" t="str">
            <v>Rupees Three Thousand</v>
          </cell>
          <cell r="L10" t="str">
            <v>Rupees Three Thousand only</v>
          </cell>
        </row>
        <row r="11">
          <cell r="A11">
            <v>489</v>
          </cell>
          <cell r="B11" t="str">
            <v>Donation - Anudanid Ashamrashala</v>
          </cell>
          <cell r="C11" t="str">
            <v>Charity</v>
          </cell>
          <cell r="D11" t="str">
            <v>Ghanashyam Harlalka</v>
          </cell>
          <cell r="E11">
            <v>45427</v>
          </cell>
          <cell r="F11" t="str">
            <v>BY CLG:202889:0625</v>
          </cell>
          <cell r="G11" t="str">
            <v>NEFT</v>
          </cell>
          <cell r="I11">
            <v>3100</v>
          </cell>
          <cell r="J11" t="str">
            <v>Rs. 3100/-</v>
          </cell>
          <cell r="K11" t="str">
            <v>Rupees Three Thousand One Hundred</v>
          </cell>
          <cell r="L11" t="str">
            <v>Rupees Three Thousand One Hundred only</v>
          </cell>
        </row>
        <row r="12">
          <cell r="A12">
            <v>490</v>
          </cell>
          <cell r="B12" t="str">
            <v>Donation - Anudanid Ashamrashala</v>
          </cell>
          <cell r="C12" t="str">
            <v>Charity</v>
          </cell>
          <cell r="D12" t="str">
            <v>Giridharan KV</v>
          </cell>
          <cell r="E12">
            <v>45427</v>
          </cell>
          <cell r="F12" t="str">
            <v>BY CLG:208133:0625</v>
          </cell>
          <cell r="G12" t="str">
            <v>NEFT</v>
          </cell>
          <cell r="I12">
            <v>2000</v>
          </cell>
          <cell r="J12" t="str">
            <v>Rs. 2000/-</v>
          </cell>
          <cell r="K12" t="str">
            <v>Rupees Two Thousand</v>
          </cell>
          <cell r="L12" t="str">
            <v>Rupees Two Thousand only</v>
          </cell>
        </row>
        <row r="13">
          <cell r="A13">
            <v>491</v>
          </cell>
          <cell r="B13" t="str">
            <v>Donation - Anudanid Ashamrashala</v>
          </cell>
          <cell r="C13" t="str">
            <v>Charity</v>
          </cell>
          <cell r="D13" t="str">
            <v>Sharika Prashant</v>
          </cell>
          <cell r="E13">
            <v>45430</v>
          </cell>
          <cell r="G13" t="str">
            <v>NEFT</v>
          </cell>
          <cell r="I13">
            <v>2000</v>
          </cell>
          <cell r="J13" t="str">
            <v>Rs. 2000/-</v>
          </cell>
          <cell r="K13" t="str">
            <v>Rupees Two Thousand</v>
          </cell>
          <cell r="L13" t="str">
            <v>Rupees Two Thousand only</v>
          </cell>
        </row>
        <row r="14">
          <cell r="A14">
            <v>492</v>
          </cell>
          <cell r="B14" t="str">
            <v>Donation - Anudanid Ashamrashala</v>
          </cell>
          <cell r="C14" t="str">
            <v>Charity</v>
          </cell>
          <cell r="D14" t="str">
            <v>Deepa Manoj</v>
          </cell>
          <cell r="E14">
            <v>45430</v>
          </cell>
          <cell r="F14" t="str">
            <v>UPI/450520278297/CR/MRS DEEPAMANOJ C/MAH/UPI</v>
          </cell>
          <cell r="G14" t="str">
            <v>NEFT</v>
          </cell>
          <cell r="I14">
            <v>2500</v>
          </cell>
          <cell r="J14" t="str">
            <v>Rs. 2500/-</v>
          </cell>
          <cell r="K14" t="str">
            <v>Rupees Two Thousand Five Hundred</v>
          </cell>
          <cell r="L14" t="str">
            <v>Rupees Two Thousand Five Hundred only</v>
          </cell>
        </row>
        <row r="15">
          <cell r="A15">
            <v>493</v>
          </cell>
          <cell r="B15" t="str">
            <v>Donation - Anudanid Ashamrashala</v>
          </cell>
          <cell r="C15" t="str">
            <v>Charity</v>
          </cell>
          <cell r="D15" t="str">
            <v>Hareesh Pazhyedam</v>
          </cell>
          <cell r="E15">
            <v>45430</v>
          </cell>
          <cell r="F15" t="str">
            <v>UPI/413974488499/CR/HAREESH PM/HDF/MURBAD SC</v>
          </cell>
          <cell r="G15" t="str">
            <v>NEFT</v>
          </cell>
          <cell r="I15">
            <v>2000</v>
          </cell>
          <cell r="J15" t="str">
            <v>Rs. 2000/-</v>
          </cell>
          <cell r="K15" t="str">
            <v>Rupees Two Thousand</v>
          </cell>
          <cell r="L15" t="str">
            <v>Rupees Two Thousand only</v>
          </cell>
        </row>
        <row r="16">
          <cell r="A16">
            <v>494</v>
          </cell>
          <cell r="B16" t="str">
            <v>Donation - Anudanid Ashamrashala</v>
          </cell>
          <cell r="C16" t="str">
            <v>Charity</v>
          </cell>
          <cell r="D16" t="str">
            <v>Arun EP</v>
          </cell>
          <cell r="E16">
            <v>45430</v>
          </cell>
          <cell r="F16" t="str">
            <v>UPI/413952638312/CR/ARUN EP/SBI/PAYMENT F</v>
          </cell>
          <cell r="G16" t="str">
            <v>NEFT</v>
          </cell>
          <cell r="I16">
            <v>3000</v>
          </cell>
          <cell r="J16" t="str">
            <v>Rs. 3000/-</v>
          </cell>
          <cell r="K16" t="str">
            <v>Rupees Three Thousand</v>
          </cell>
          <cell r="L16" t="str">
            <v>Rupees Three Thousand only</v>
          </cell>
        </row>
        <row r="17">
          <cell r="A17">
            <v>495</v>
          </cell>
          <cell r="B17" t="str">
            <v>Donation - Anudanid Ashamrashala</v>
          </cell>
          <cell r="C17" t="str">
            <v>Charity</v>
          </cell>
          <cell r="D17" t="str">
            <v>Krishnan Pattasseri</v>
          </cell>
          <cell r="E17">
            <v>45430</v>
          </cell>
          <cell r="F17" t="str">
            <v>TRTR/413916494326/IMPS/PKRISHNAN NAMBOODIR</v>
          </cell>
          <cell r="G17" t="str">
            <v>NEFT</v>
          </cell>
          <cell r="I17">
            <v>1500</v>
          </cell>
          <cell r="J17" t="str">
            <v>Rs. 1500/-</v>
          </cell>
          <cell r="K17" t="str">
            <v>Rupees One Thousand Five Hundred</v>
          </cell>
          <cell r="L17" t="str">
            <v>Rupees One Thousand Five Hundred only</v>
          </cell>
        </row>
        <row r="18">
          <cell r="A18">
            <v>496</v>
          </cell>
          <cell r="B18" t="str">
            <v>Donation - Anudanid Ashamrashala</v>
          </cell>
          <cell r="C18" t="str">
            <v>Charity</v>
          </cell>
          <cell r="D18" t="str">
            <v>Vinod Krishnan Kaippali</v>
          </cell>
          <cell r="E18">
            <v>45430</v>
          </cell>
          <cell r="F18" t="str">
            <v>TRTR/413921996540/IMPS/VINODKRISHNAN NAMPOOTHIRI</v>
          </cell>
          <cell r="G18" t="str">
            <v>NEFT</v>
          </cell>
          <cell r="I18">
            <v>5000</v>
          </cell>
          <cell r="J18" t="str">
            <v>Rs. 5000/-</v>
          </cell>
          <cell r="K18" t="str">
            <v>Rupees Five Thousand</v>
          </cell>
          <cell r="L18" t="str">
            <v>Rupees Five Thousand only</v>
          </cell>
        </row>
        <row r="19">
          <cell r="A19">
            <v>497</v>
          </cell>
          <cell r="B19" t="str">
            <v>Donation - Anudanid Ashamrashala</v>
          </cell>
          <cell r="C19" t="str">
            <v>Charity</v>
          </cell>
          <cell r="D19" t="str">
            <v>Rohit Enghakkat</v>
          </cell>
          <cell r="E19">
            <v>45430</v>
          </cell>
          <cell r="F19" t="str">
            <v>TRTR/413925650461/IMPS/ROHITPARAMESWARAN</v>
          </cell>
          <cell r="G19" t="str">
            <v>NEFT</v>
          </cell>
          <cell r="I19">
            <v>2000</v>
          </cell>
          <cell r="J19" t="str">
            <v>Rs. 2000/-</v>
          </cell>
          <cell r="K19" t="str">
            <v>Rupees Two Thousand</v>
          </cell>
          <cell r="L19" t="str">
            <v>Rupees Two Thousand only</v>
          </cell>
        </row>
        <row r="20">
          <cell r="A20">
            <v>498</v>
          </cell>
          <cell r="B20" t="str">
            <v>Donation - Anudanid Ashamrashala</v>
          </cell>
          <cell r="C20" t="str">
            <v>Charity</v>
          </cell>
          <cell r="D20" t="str">
            <v>Deepthy K S</v>
          </cell>
          <cell r="E20">
            <v>45430</v>
          </cell>
          <cell r="F20" t="str">
            <v>UPI/414008701557/CR/DEEPTHY SKARUTHE/IND/UPI</v>
          </cell>
          <cell r="G20" t="str">
            <v>NEFT</v>
          </cell>
          <cell r="I20">
            <v>18001</v>
          </cell>
          <cell r="J20" t="str">
            <v>Rs. 18001/-</v>
          </cell>
          <cell r="K20" t="str">
            <v>Rupees Eighteen Thousand One</v>
          </cell>
          <cell r="L20" t="str">
            <v>Rupees Eighteen Thousand One only</v>
          </cell>
        </row>
        <row r="21">
          <cell r="A21">
            <v>499</v>
          </cell>
          <cell r="B21" t="str">
            <v>Donation - Anudanid Ashamrashala</v>
          </cell>
          <cell r="C21" t="str">
            <v>Charity</v>
          </cell>
          <cell r="D21" t="str">
            <v>Ravi P M (Dombivli)</v>
          </cell>
          <cell r="E21">
            <v>45431</v>
          </cell>
          <cell r="F21" t="str">
            <v>UPI/414008766442/CR/RAVIPAZHAYATHMA/KKB/TRIBAL</v>
          </cell>
          <cell r="G21" t="str">
            <v>NEFT</v>
          </cell>
          <cell r="I21">
            <v>3000</v>
          </cell>
          <cell r="J21" t="str">
            <v>Rs. 3000/-</v>
          </cell>
          <cell r="K21" t="str">
            <v>Rupees Three Thousand</v>
          </cell>
          <cell r="L21" t="str">
            <v>Rupees Three Thousand only</v>
          </cell>
        </row>
        <row r="22">
          <cell r="A22">
            <v>500</v>
          </cell>
          <cell r="B22" t="str">
            <v>Donation - Anudanid Ashamrashala</v>
          </cell>
          <cell r="C22" t="str">
            <v>Charity</v>
          </cell>
          <cell r="D22" t="str">
            <v>Rohith Krishnanan</v>
          </cell>
          <cell r="E22">
            <v>45431</v>
          </cell>
          <cell r="F22" t="str">
            <v>TRTR/414016708752/IMPS/ROHITHT.KRISHNAN</v>
          </cell>
          <cell r="G22" t="str">
            <v>NEFT</v>
          </cell>
          <cell r="I22">
            <v>2501</v>
          </cell>
          <cell r="J22" t="str">
            <v>Rs. 2501/-</v>
          </cell>
          <cell r="K22" t="str">
            <v>Rupees Two Thousand Five Hundred One</v>
          </cell>
          <cell r="L22" t="str">
            <v>Rupees Two Thousand Five Hundred One only</v>
          </cell>
        </row>
        <row r="23">
          <cell r="A23">
            <v>501</v>
          </cell>
          <cell r="B23" t="str">
            <v>Donation - Anudanid Ashamrashala</v>
          </cell>
          <cell r="C23" t="str">
            <v>Charity</v>
          </cell>
          <cell r="D23" t="str">
            <v>Mohanakrishnan Kongorppilly</v>
          </cell>
          <cell r="E23">
            <v>45431</v>
          </cell>
          <cell r="F23" t="str">
            <v>UPI/414012349184/CR/MOHANAKRISHNAN /SBI/UPI</v>
          </cell>
          <cell r="G23" t="str">
            <v>NEFT</v>
          </cell>
          <cell r="I23">
            <v>2000</v>
          </cell>
          <cell r="J23" t="str">
            <v>Rs. 2000/-</v>
          </cell>
          <cell r="K23" t="str">
            <v>Rupees Two Thousand</v>
          </cell>
          <cell r="L23" t="str">
            <v>Rupees Two Thousand only</v>
          </cell>
        </row>
        <row r="24">
          <cell r="A24">
            <v>502</v>
          </cell>
          <cell r="B24" t="str">
            <v>Donation - Anudanid Ashamrashala</v>
          </cell>
          <cell r="C24" t="str">
            <v>Charity</v>
          </cell>
          <cell r="D24" t="str">
            <v>Subhash Krishnan</v>
          </cell>
          <cell r="E24">
            <v>45431</v>
          </cell>
          <cell r="F24" t="str">
            <v>NEFT-HDFC-N140243046970915-SUBHASH KR-TRIBAL CHA</v>
          </cell>
          <cell r="G24" t="str">
            <v>NEFT</v>
          </cell>
          <cell r="I24">
            <v>10000</v>
          </cell>
          <cell r="J24" t="str">
            <v>Rs. 10000/-</v>
          </cell>
          <cell r="K24" t="str">
            <v>Rupees Ten Thousand</v>
          </cell>
          <cell r="L24" t="str">
            <v>Rupees Ten Thousand only</v>
          </cell>
        </row>
        <row r="25">
          <cell r="A25">
            <v>503</v>
          </cell>
          <cell r="B25" t="str">
            <v>Donation - Anudanid Ashamrashala</v>
          </cell>
          <cell r="C25" t="str">
            <v>Charity</v>
          </cell>
          <cell r="E25">
            <v>45432</v>
          </cell>
          <cell r="F25" t="str">
            <v>NEFT-SBIN-SBIN224141045590-NEW DELHI-/ATTN//INB</v>
          </cell>
          <cell r="G25" t="str">
            <v>NEFT</v>
          </cell>
          <cell r="I25">
            <v>2520</v>
          </cell>
          <cell r="J25" t="str">
            <v>Rs. 2520/-</v>
          </cell>
          <cell r="K25" t="str">
            <v>Rupees Two Thousand Five Hundred Twenty</v>
          </cell>
          <cell r="L25" t="str">
            <v>Rupees Two Thousand Five Hundred Twenty only</v>
          </cell>
        </row>
        <row r="26">
          <cell r="A26">
            <v>504</v>
          </cell>
          <cell r="B26" t="str">
            <v>Donation - Anudanid Ashamrashala</v>
          </cell>
          <cell r="C26" t="str">
            <v>Charity</v>
          </cell>
          <cell r="D26" t="str">
            <v>Sidharth Janardanan</v>
          </cell>
          <cell r="E26">
            <v>45432</v>
          </cell>
          <cell r="F26" t="str">
            <v>UPI/450755377844/CR/SIDDHARTHJANARDA/ICI/UPI</v>
          </cell>
          <cell r="G26" t="str">
            <v>NEFT</v>
          </cell>
          <cell r="I26">
            <v>5000</v>
          </cell>
          <cell r="J26" t="str">
            <v>Rs. 5000/-</v>
          </cell>
          <cell r="K26" t="str">
            <v>Rupees Five Thousand</v>
          </cell>
          <cell r="L26" t="str">
            <v>Rupees Five Thousand only</v>
          </cell>
        </row>
        <row r="27">
          <cell r="A27">
            <v>505</v>
          </cell>
          <cell r="B27" t="str">
            <v>Donation - Anudanid Ashamrashala</v>
          </cell>
          <cell r="C27" t="str">
            <v>Charity</v>
          </cell>
          <cell r="D27" t="str">
            <v>Varun Kuthully</v>
          </cell>
          <cell r="E27">
            <v>45432</v>
          </cell>
          <cell r="F27" t="str">
            <v>UPI/450788392626/CR/KUTHULLYVARUN VA/UTI/UPI</v>
          </cell>
          <cell r="G27" t="str">
            <v>NEFT</v>
          </cell>
          <cell r="I27">
            <v>1000</v>
          </cell>
          <cell r="J27" t="str">
            <v>Rs. 1000/-</v>
          </cell>
          <cell r="K27" t="str">
            <v>Rupees One Thousand</v>
          </cell>
          <cell r="L27" t="str">
            <v>Rupees One Thousand only</v>
          </cell>
        </row>
        <row r="28">
          <cell r="A28">
            <v>506</v>
          </cell>
          <cell r="B28" t="str">
            <v>Donation - Anudanid Ashamrashala</v>
          </cell>
          <cell r="C28" t="str">
            <v>Charity</v>
          </cell>
          <cell r="D28" t="str">
            <v>Mithun Kuthully</v>
          </cell>
          <cell r="E28">
            <v>45432</v>
          </cell>
          <cell r="F28" t="str">
            <v>UPI/414157739325/CR/MITHUNVASUDEVAN /HDF/UPI</v>
          </cell>
          <cell r="G28" t="str">
            <v>NEFT</v>
          </cell>
          <cell r="I28">
            <v>1000</v>
          </cell>
          <cell r="J28" t="str">
            <v>Rs. 1000/-</v>
          </cell>
          <cell r="K28" t="str">
            <v>Rupees One Thousand</v>
          </cell>
          <cell r="L28" t="str">
            <v>Rupees One Thousand only</v>
          </cell>
        </row>
        <row r="29">
          <cell r="A29">
            <v>507</v>
          </cell>
          <cell r="B29" t="str">
            <v>Donation - Anudanid Ashamrashala</v>
          </cell>
          <cell r="C29" t="str">
            <v>Charity</v>
          </cell>
          <cell r="D29" t="str">
            <v>Sriraj Kappiyoor</v>
          </cell>
          <cell r="E29">
            <v>45432</v>
          </cell>
          <cell r="F29" t="str">
            <v>UPI/414158905025/CR/SRIRAJ JNAMBOODI/KKB/UPI</v>
          </cell>
          <cell r="G29" t="str">
            <v>NEFT</v>
          </cell>
          <cell r="I29">
            <v>5000</v>
          </cell>
          <cell r="J29" t="str">
            <v>Rs. 5000/-</v>
          </cell>
          <cell r="K29" t="str">
            <v>Rupees Five Thousand</v>
          </cell>
          <cell r="L29" t="str">
            <v>Rupees Five Thousand only</v>
          </cell>
        </row>
        <row r="30">
          <cell r="A30">
            <v>508</v>
          </cell>
          <cell r="B30" t="str">
            <v>Donation - Anudanid Ashamrashala</v>
          </cell>
          <cell r="C30" t="str">
            <v>Charity</v>
          </cell>
          <cell r="D30" t="str">
            <v>Nitya Murali</v>
          </cell>
          <cell r="E30">
            <v>45432</v>
          </cell>
          <cell r="F30" t="str">
            <v>TRTR/414125683621/IMPS/NITYATRIVIKRAMANEA</v>
          </cell>
          <cell r="G30" t="str">
            <v>NEFT</v>
          </cell>
          <cell r="I30">
            <v>2001</v>
          </cell>
          <cell r="J30" t="str">
            <v>Rs. 2001/-</v>
          </cell>
          <cell r="K30" t="str">
            <v>Rupees Two Thousand One</v>
          </cell>
          <cell r="L30" t="str">
            <v>Rupees Two Thousand One only</v>
          </cell>
        </row>
        <row r="31">
          <cell r="A31">
            <v>509</v>
          </cell>
          <cell r="B31" t="str">
            <v>Donation - Anudanid Ashamrashala</v>
          </cell>
          <cell r="C31" t="str">
            <v>Charity</v>
          </cell>
          <cell r="D31" t="str">
            <v>Krishnakumar Mullamangalam</v>
          </cell>
          <cell r="E31">
            <v>45434</v>
          </cell>
          <cell r="F31" t="str">
            <v>NEFT-CBIN-CBINI24143919375-MR.
MULLAM-//ATTN/DON</v>
          </cell>
          <cell r="G31" t="str">
            <v>NEFT</v>
          </cell>
          <cell r="I31">
            <v>5000</v>
          </cell>
          <cell r="J31" t="str">
            <v>Rs. 5000/-</v>
          </cell>
          <cell r="K31" t="str">
            <v>Rupees Five Thousand</v>
          </cell>
          <cell r="L31" t="str">
            <v>Rupees Five Thousand only</v>
          </cell>
        </row>
        <row r="32">
          <cell r="A32">
            <v>510</v>
          </cell>
          <cell r="B32" t="str">
            <v>Donation - Anudanid Ashamrashala</v>
          </cell>
          <cell r="C32" t="str">
            <v>Charity</v>
          </cell>
          <cell r="D32" t="str">
            <v>Vasudevan Kothamangalam</v>
          </cell>
          <cell r="E32">
            <v>45437</v>
          </cell>
          <cell r="F32" t="str">
            <v>TRTR/414622981749/IMPS/VASUDEVAN K DAMODARAN</v>
          </cell>
          <cell r="G32" t="str">
            <v>NEFT</v>
          </cell>
          <cell r="I32">
            <v>5000</v>
          </cell>
          <cell r="J32" t="str">
            <v>Rs. 5000/-</v>
          </cell>
          <cell r="K32" t="str">
            <v>Rupees Five Thousand</v>
          </cell>
          <cell r="L32" t="str">
            <v>Rupees Five Thousand only</v>
          </cell>
        </row>
        <row r="33">
          <cell r="A33">
            <v>511</v>
          </cell>
          <cell r="B33" t="str">
            <v>Donation - Anudanid Ashamrashala</v>
          </cell>
          <cell r="C33" t="str">
            <v>Charity</v>
          </cell>
          <cell r="D33" t="str">
            <v>Nalin V Kunnath</v>
          </cell>
          <cell r="E33">
            <v>45437</v>
          </cell>
          <cell r="F33" t="str">
            <v>NEFT-HDFC-N146243056082688-NALIN VIKR-ASHRAMSHAL</v>
          </cell>
          <cell r="G33" t="str">
            <v>NEFT</v>
          </cell>
          <cell r="I33">
            <v>2500</v>
          </cell>
          <cell r="J33" t="str">
            <v>Rs. 2500/-</v>
          </cell>
          <cell r="K33" t="str">
            <v>Rupees Two Thousand Five Hundred</v>
          </cell>
          <cell r="L33" t="str">
            <v>Rupees Two Thousand Five Hundred only</v>
          </cell>
        </row>
        <row r="34">
          <cell r="A34">
            <v>512</v>
          </cell>
          <cell r="B34" t="str">
            <v>Donation - Anudanid Ashamrashala</v>
          </cell>
          <cell r="C34" t="str">
            <v>Charity</v>
          </cell>
          <cell r="D34" t="str">
            <v>Narayanan KK</v>
          </cell>
          <cell r="E34">
            <v>45439</v>
          </cell>
          <cell r="F34" t="str">
            <v>TRTR/414814521682/IMPS/NARAYANAN KODAKKATTU</v>
          </cell>
          <cell r="G34" t="str">
            <v>NEFT</v>
          </cell>
          <cell r="I34">
            <v>1000</v>
          </cell>
          <cell r="J34" t="str">
            <v>Rs. 1000/-</v>
          </cell>
          <cell r="K34" t="str">
            <v>Rupees One Thousand</v>
          </cell>
          <cell r="L34" t="str">
            <v>Rupees One Thousand only</v>
          </cell>
        </row>
        <row r="35">
          <cell r="A35">
            <v>513</v>
          </cell>
          <cell r="B35" t="str">
            <v>Donation - Anudanid Ashamrashala</v>
          </cell>
          <cell r="C35" t="str">
            <v>Charity</v>
          </cell>
          <cell r="D35" t="str">
            <v>Saraswathy C P (Mohanakrishnan Kongorpilly)</v>
          </cell>
          <cell r="E35">
            <v>45444</v>
          </cell>
          <cell r="F35" t="str">
            <v>UPI/415398348862/CR/SARASWATHY C P/SBI/ANIDANID</v>
          </cell>
          <cell r="G35" t="str">
            <v>NEFT</v>
          </cell>
          <cell r="I35">
            <v>3000</v>
          </cell>
          <cell r="J35" t="str">
            <v>Rs. 3000/-</v>
          </cell>
          <cell r="K35" t="str">
            <v>Rupees Three Thousand</v>
          </cell>
          <cell r="L35" t="str">
            <v>Rupees Three Thousand only</v>
          </cell>
        </row>
        <row r="36">
          <cell r="A36">
            <v>514</v>
          </cell>
          <cell r="B36" t="str">
            <v>Donation - Anudanid Ashamrashala</v>
          </cell>
          <cell r="C36" t="str">
            <v>Charity</v>
          </cell>
          <cell r="D36" t="str">
            <v>Sankaran PP</v>
          </cell>
          <cell r="E36">
            <v>45448</v>
          </cell>
          <cell r="F36" t="str">
            <v>UPI/415766501850/CR/SANKARANPUNNERI /UBI/SCHOOL</v>
          </cell>
          <cell r="G36" t="str">
            <v>NEFT</v>
          </cell>
          <cell r="I36">
            <v>2000</v>
          </cell>
          <cell r="J36" t="str">
            <v>Rs. 2000/-</v>
          </cell>
          <cell r="K36" t="str">
            <v>Rupees Two Thousand</v>
          </cell>
          <cell r="L36" t="str">
            <v>Rupees Two Thousand only</v>
          </cell>
        </row>
        <row r="37">
          <cell r="A37">
            <v>515</v>
          </cell>
          <cell r="B37" t="str">
            <v>Donation - Anudanid Ashamrashala</v>
          </cell>
          <cell r="C37" t="str">
            <v>Charity</v>
          </cell>
          <cell r="D37" t="str">
            <v>Praveen Makkantheri</v>
          </cell>
          <cell r="E37">
            <v>45448</v>
          </cell>
          <cell r="F37" t="str">
            <v>NEFT-SBIN-SBIN224157874469-MRPRAVEEN-/ATTN//INB</v>
          </cell>
          <cell r="G37" t="str">
            <v>NEFT</v>
          </cell>
          <cell r="I37">
            <v>2000</v>
          </cell>
          <cell r="J37" t="str">
            <v>Rs. 2000/-</v>
          </cell>
          <cell r="K37" t="str">
            <v>Rupees Two Thousand</v>
          </cell>
          <cell r="L37" t="str">
            <v>Rupees Two Thousand only</v>
          </cell>
        </row>
        <row r="38">
          <cell r="A38">
            <v>516</v>
          </cell>
          <cell r="B38" t="str">
            <v>Donation - Anudanid Ashamrashala</v>
          </cell>
          <cell r="C38" t="str">
            <v>Charity</v>
          </cell>
          <cell r="D38" t="str">
            <v>Narayanan Athrasseri</v>
          </cell>
          <cell r="E38">
            <v>45450</v>
          </cell>
          <cell r="F38" t="str">
            <v>TRTR/415911067746/IMPS/NARAYANAN ATHRASSEER</v>
          </cell>
          <cell r="G38" t="str">
            <v>NEFT</v>
          </cell>
          <cell r="I38">
            <v>1000</v>
          </cell>
          <cell r="J38" t="str">
            <v>Rs. 1000/-</v>
          </cell>
          <cell r="K38" t="str">
            <v>Rupees One Thousand</v>
          </cell>
          <cell r="L38" t="str">
            <v>Rupees One Thousand only</v>
          </cell>
        </row>
        <row r="39">
          <cell r="A39">
            <v>517</v>
          </cell>
          <cell r="B39" t="str">
            <v>Donation - Anudanid Ashamrashala</v>
          </cell>
          <cell r="C39" t="str">
            <v>Charity</v>
          </cell>
          <cell r="D39" t="str">
            <v>Murali KD</v>
          </cell>
          <cell r="E39">
            <v>45451</v>
          </cell>
          <cell r="F39" t="str">
            <v>Cash</v>
          </cell>
          <cell r="G39" t="str">
            <v>Cash</v>
          </cell>
          <cell r="I39">
            <v>1001</v>
          </cell>
          <cell r="J39" t="str">
            <v>Rs. 1001/-</v>
          </cell>
          <cell r="K39" t="str">
            <v>Rupees One Thousand One</v>
          </cell>
          <cell r="L39" t="str">
            <v>Rupees One Thousand One only</v>
          </cell>
        </row>
        <row r="40">
          <cell r="A40">
            <v>518</v>
          </cell>
          <cell r="B40" t="str">
            <v>Donation - Anudanid Ashamrashala</v>
          </cell>
          <cell r="C40" t="str">
            <v>Charity</v>
          </cell>
          <cell r="D40" t="str">
            <v>Rajeev Mundayoor</v>
          </cell>
          <cell r="E40">
            <v>45450</v>
          </cell>
          <cell r="F40" t="str">
            <v>Cash</v>
          </cell>
          <cell r="G40" t="str">
            <v>Cash</v>
          </cell>
          <cell r="I40">
            <v>5000</v>
          </cell>
          <cell r="J40" t="str">
            <v>Rs. 5000/-</v>
          </cell>
          <cell r="K40" t="str">
            <v>Rupees Five Thousand</v>
          </cell>
          <cell r="L40" t="str">
            <v>Rupees Five Thousand only</v>
          </cell>
        </row>
        <row r="41">
          <cell r="A41">
            <v>519</v>
          </cell>
          <cell r="B41" t="str">
            <v>Donation - Anudanid Ashamrashala</v>
          </cell>
          <cell r="C41" t="str">
            <v>Charity</v>
          </cell>
          <cell r="D41" t="str">
            <v>Sunil Arayanamangalam</v>
          </cell>
          <cell r="E41">
            <v>45450</v>
          </cell>
          <cell r="F41" t="str">
            <v>Cash</v>
          </cell>
          <cell r="G41" t="str">
            <v>Cash</v>
          </cell>
          <cell r="I41">
            <v>5000</v>
          </cell>
          <cell r="J41" t="str">
            <v>Rs. 5000/-</v>
          </cell>
          <cell r="K41" t="str">
            <v>Rupees Five Thousand</v>
          </cell>
          <cell r="L41" t="str">
            <v>Rupees Five Thousand only</v>
          </cell>
        </row>
        <row r="42">
          <cell r="A42">
            <v>520</v>
          </cell>
          <cell r="B42" t="str">
            <v>Donation - Anudanid Ashamrashala</v>
          </cell>
          <cell r="C42" t="str">
            <v>Charity</v>
          </cell>
          <cell r="D42" t="str">
            <v>Viju Maruthasseri</v>
          </cell>
          <cell r="E42">
            <v>45450</v>
          </cell>
          <cell r="F42" t="str">
            <v>Cash</v>
          </cell>
          <cell r="G42" t="str">
            <v>Cash</v>
          </cell>
          <cell r="I42">
            <v>5000</v>
          </cell>
          <cell r="J42" t="str">
            <v>Rs. 5000/-</v>
          </cell>
          <cell r="K42" t="str">
            <v>Rupees Five Thousand</v>
          </cell>
          <cell r="L42" t="str">
            <v>Rupees Five Thousand only</v>
          </cell>
        </row>
        <row r="43">
          <cell r="A43">
            <v>521</v>
          </cell>
          <cell r="B43" t="str">
            <v>Donation - Anudanid Ashamrashala</v>
          </cell>
          <cell r="C43" t="str">
            <v>Charity</v>
          </cell>
          <cell r="D43" t="str">
            <v>Vasudevan Mekkad</v>
          </cell>
          <cell r="E43">
            <v>45466</v>
          </cell>
          <cell r="G43" t="str">
            <v>Cash</v>
          </cell>
          <cell r="I43">
            <v>2000</v>
          </cell>
          <cell r="J43" t="str">
            <v>Rs. 2000/-</v>
          </cell>
          <cell r="K43" t="str">
            <v>Rupees Two Thousand</v>
          </cell>
          <cell r="L43" t="str">
            <v>Rupees Two Thousand only</v>
          </cell>
        </row>
        <row r="44">
          <cell r="A44">
            <v>522</v>
          </cell>
          <cell r="B44" t="str">
            <v>Donation - Anudanid Ashamrashala</v>
          </cell>
          <cell r="C44" t="str">
            <v>Charity</v>
          </cell>
          <cell r="D44" t="str">
            <v>Subramanian Kakkattu</v>
          </cell>
          <cell r="E44">
            <v>45466</v>
          </cell>
          <cell r="F44" t="str">
            <v>Cash</v>
          </cell>
          <cell r="G44" t="str">
            <v>Cash</v>
          </cell>
          <cell r="I44">
            <v>1000</v>
          </cell>
          <cell r="J44" t="str">
            <v>Rs. 1000/-</v>
          </cell>
          <cell r="K44" t="str">
            <v>Rupees One Thousand</v>
          </cell>
          <cell r="L44" t="str">
            <v>Rupees One Thousand only</v>
          </cell>
        </row>
        <row r="45">
          <cell r="A45">
            <v>523</v>
          </cell>
          <cell r="B45" t="str">
            <v>Donation - Anudanid Ashamrashala</v>
          </cell>
          <cell r="C45" t="str">
            <v>Charity</v>
          </cell>
          <cell r="D45" t="str">
            <v>Shanakaranarayanan Palakattiri</v>
          </cell>
          <cell r="E45">
            <v>45466</v>
          </cell>
          <cell r="F45" t="str">
            <v>Cash</v>
          </cell>
          <cell r="G45" t="str">
            <v>Cash</v>
          </cell>
          <cell r="I45">
            <v>1000</v>
          </cell>
          <cell r="J45" t="str">
            <v>Rs. 1000/-</v>
          </cell>
          <cell r="K45" t="str">
            <v>Rupees One Thousand</v>
          </cell>
          <cell r="L45" t="str">
            <v>Rupees One Thousand only</v>
          </cell>
        </row>
        <row r="46">
          <cell r="A46">
            <v>524</v>
          </cell>
          <cell r="B46" t="str">
            <v>Donation</v>
          </cell>
          <cell r="C46" t="str">
            <v>Inhouse Journal Income</v>
          </cell>
          <cell r="D46" t="str">
            <v>Deepthy K S</v>
          </cell>
          <cell r="E46">
            <v>45423</v>
          </cell>
          <cell r="F46" t="str">
            <v>UPI/413220913392/CR/DEEPTHY S KARUTHE/IND/EXPO EN</v>
          </cell>
          <cell r="G46" t="str">
            <v>NEFT</v>
          </cell>
          <cell r="I46">
            <v>10001</v>
          </cell>
          <cell r="J46" t="str">
            <v>Rs. 10001/-</v>
          </cell>
          <cell r="K46" t="str">
            <v>Rupees Ten Thousand One</v>
          </cell>
          <cell r="L46" t="str">
            <v>Rupees Ten Thousand One only</v>
          </cell>
        </row>
        <row r="47">
          <cell r="A47">
            <v>525</v>
          </cell>
          <cell r="B47" t="str">
            <v>Donation - Ordinary Membership</v>
          </cell>
          <cell r="C47" t="str">
            <v>Ordinary Membership - 2years</v>
          </cell>
          <cell r="D47" t="str">
            <v>Varun Kuthully</v>
          </cell>
          <cell r="E47">
            <v>45432</v>
          </cell>
          <cell r="F47" t="str">
            <v>UPI/414196390165/CR/KUTHULLYVARUN VA/UTI/UPI</v>
          </cell>
          <cell r="G47" t="str">
            <v>NEFT</v>
          </cell>
          <cell r="I47">
            <v>600</v>
          </cell>
          <cell r="J47" t="str">
            <v>Rs. 600/-</v>
          </cell>
          <cell r="K47" t="str">
            <v>Rupees Six Hundred</v>
          </cell>
          <cell r="L47" t="str">
            <v>Rupees Six Hundred only</v>
          </cell>
        </row>
        <row r="48">
          <cell r="A48">
            <v>526</v>
          </cell>
          <cell r="B48" t="str">
            <v>Donation - Waynad Relief Fund</v>
          </cell>
          <cell r="C48" t="str">
            <v>Charity</v>
          </cell>
          <cell r="D48" t="str">
            <v>Vind Kuthully</v>
          </cell>
          <cell r="E48">
            <v>45529</v>
          </cell>
          <cell r="F48" t="str">
            <v>IMPS/423813906801/VINODB/ICIC/XXXX562138/-</v>
          </cell>
          <cell r="G48" t="str">
            <v>NEFT</v>
          </cell>
          <cell r="I48">
            <v>1000</v>
          </cell>
          <cell r="J48" t="str">
            <v>Rs. 1000/-</v>
          </cell>
          <cell r="K48" t="str">
            <v>Rupees One Thousand</v>
          </cell>
          <cell r="L48" t="str">
            <v>Rupees One Thousand only</v>
          </cell>
        </row>
        <row r="49">
          <cell r="A49">
            <v>527</v>
          </cell>
          <cell r="B49" t="str">
            <v>Donation - Waynad Relief Fund</v>
          </cell>
          <cell r="C49" t="str">
            <v>Charity</v>
          </cell>
          <cell r="D49" t="str">
            <v>Sreerag Raj</v>
          </cell>
          <cell r="E49">
            <v>45529</v>
          </cell>
          <cell r="F49" t="str">
            <v>UPI/423854679313/CR/SREERAG KRAJ/SBI/FOR WAYNA</v>
          </cell>
          <cell r="G49" t="str">
            <v>NEFT</v>
          </cell>
          <cell r="I49">
            <v>2000</v>
          </cell>
          <cell r="J49" t="str">
            <v>Rs. 2000/-</v>
          </cell>
          <cell r="K49" t="str">
            <v>Rupees Two Thousand</v>
          </cell>
          <cell r="L49" t="str">
            <v>Rupees Two Thousand only</v>
          </cell>
        </row>
        <row r="50">
          <cell r="A50">
            <v>528</v>
          </cell>
          <cell r="B50" t="str">
            <v>Donation - Waynad Relief Fund</v>
          </cell>
          <cell r="C50" t="str">
            <v>Charity</v>
          </cell>
          <cell r="D50" t="str">
            <v>Sriraj Kappiyoor</v>
          </cell>
          <cell r="E50">
            <v>45529</v>
          </cell>
          <cell r="F50" t="str">
            <v>UPI/423832000842/CR/SRIRAJ JNAMBOODI/KKB/UPI</v>
          </cell>
          <cell r="G50" t="str">
            <v>NEFT</v>
          </cell>
          <cell r="I50">
            <v>2000</v>
          </cell>
          <cell r="J50" t="str">
            <v>Rs. 2000/-</v>
          </cell>
          <cell r="K50" t="str">
            <v>Rupees Two Thousand</v>
          </cell>
          <cell r="L50" t="str">
            <v>Rupees Two Thousand only</v>
          </cell>
        </row>
        <row r="51">
          <cell r="A51">
            <v>529</v>
          </cell>
          <cell r="B51" t="str">
            <v>Donation - Waynad Relief Fund</v>
          </cell>
          <cell r="C51" t="str">
            <v>Charity</v>
          </cell>
          <cell r="D51" t="str">
            <v>Sidharth Kappiyoor</v>
          </cell>
          <cell r="E51">
            <v>45529</v>
          </cell>
          <cell r="F51" t="str">
            <v>UPI/460409772408/CR/SIDDHARTHJANARDA/ICI/UPI</v>
          </cell>
          <cell r="G51" t="str">
            <v>NEFT</v>
          </cell>
          <cell r="I51">
            <v>1000</v>
          </cell>
          <cell r="J51" t="str">
            <v>Rs. 1000/-</v>
          </cell>
          <cell r="K51" t="str">
            <v>Rupees One Thousand</v>
          </cell>
          <cell r="L51" t="str">
            <v>Rupees One Thousand only</v>
          </cell>
        </row>
        <row r="52">
          <cell r="A52">
            <v>530</v>
          </cell>
          <cell r="B52" t="str">
            <v>Donation - Waynad Relief Fund</v>
          </cell>
          <cell r="C52" t="str">
            <v>Charity</v>
          </cell>
          <cell r="D52" t="str">
            <v>Arun EP</v>
          </cell>
          <cell r="E52">
            <v>45529</v>
          </cell>
          <cell r="F52" t="str">
            <v>UPI/423828980709/CR/ARUN EP/SBI/PAYMENT F</v>
          </cell>
          <cell r="G52" t="str">
            <v>NEFT</v>
          </cell>
          <cell r="I52">
            <v>1000</v>
          </cell>
          <cell r="J52" t="str">
            <v>Rs. 1000/-</v>
          </cell>
          <cell r="K52" t="str">
            <v>Rupees One Thousand</v>
          </cell>
          <cell r="L52" t="str">
            <v>Rupees One Thousand only</v>
          </cell>
        </row>
        <row r="53">
          <cell r="A53">
            <v>531</v>
          </cell>
          <cell r="B53" t="str">
            <v>Donation - Waynad Relief Fund</v>
          </cell>
          <cell r="C53" t="str">
            <v>Charity</v>
          </cell>
          <cell r="D53" t="str">
            <v>Deepa Manoj</v>
          </cell>
          <cell r="E53">
            <v>45529</v>
          </cell>
          <cell r="F53" t="str">
            <v>UPI/460421307907/CR/MRS DEEPAMANOJ C/MAH/MAZHOOR</v>
          </cell>
          <cell r="G53" t="str">
            <v>NEFT</v>
          </cell>
          <cell r="I53">
            <v>2000</v>
          </cell>
          <cell r="J53" t="str">
            <v>Rs. 2000/-</v>
          </cell>
          <cell r="K53" t="str">
            <v>Rupees Two Thousand</v>
          </cell>
          <cell r="L53" t="str">
            <v>Rupees Two Thousand only</v>
          </cell>
        </row>
        <row r="54">
          <cell r="A54">
            <v>532</v>
          </cell>
          <cell r="B54" t="str">
            <v>Donation - Waynad Relief Fund</v>
          </cell>
          <cell r="C54" t="str">
            <v>Charity</v>
          </cell>
          <cell r="D54" t="str">
            <v>Rohit Enghakattu</v>
          </cell>
          <cell r="E54">
            <v>45532</v>
          </cell>
          <cell r="F54" t="str">
            <v>IMPS/424116727925/ROHITPA/UTIB/XXXX682119/-</v>
          </cell>
          <cell r="G54" t="str">
            <v>NEFT</v>
          </cell>
          <cell r="I54">
            <v>2000</v>
          </cell>
          <cell r="J54" t="str">
            <v>Rs. 2000/-</v>
          </cell>
          <cell r="K54" t="str">
            <v>Rupees Two Thousand</v>
          </cell>
          <cell r="L54" t="str">
            <v>Rupees Two Thousand only</v>
          </cell>
        </row>
        <row r="55">
          <cell r="A55">
            <v>533</v>
          </cell>
          <cell r="B55" t="str">
            <v>Donation - Waynad Relief Fund</v>
          </cell>
          <cell r="C55" t="str">
            <v>Charity</v>
          </cell>
          <cell r="D55" t="str">
            <v>Leela Ekkattu</v>
          </cell>
          <cell r="E55">
            <v>45532</v>
          </cell>
          <cell r="F55" t="str">
            <v>IMPS/424123832832/LEELAP/ICIC/XXXX008170/-</v>
          </cell>
          <cell r="G55" t="str">
            <v>NEFT</v>
          </cell>
          <cell r="I55">
            <v>2000</v>
          </cell>
          <cell r="J55" t="str">
            <v>Rs. 2000/-</v>
          </cell>
          <cell r="K55" t="str">
            <v>Rupees Two Thousand</v>
          </cell>
          <cell r="L55" t="str">
            <v>Rupees Two Thousand only</v>
          </cell>
        </row>
        <row r="56">
          <cell r="A56">
            <v>534</v>
          </cell>
          <cell r="B56" t="str">
            <v>Donation - Waynad Relief Fund</v>
          </cell>
          <cell r="C56" t="str">
            <v>Charity</v>
          </cell>
          <cell r="D56" t="str">
            <v>Hareesh PM</v>
          </cell>
          <cell r="E56">
            <v>45535</v>
          </cell>
          <cell r="F56" t="str">
            <v>UPI/424456933425/CR/HAREESH PM/HDF/WAYANAD R</v>
          </cell>
          <cell r="G56" t="str">
            <v>NEFT</v>
          </cell>
          <cell r="I56">
            <v>2000</v>
          </cell>
          <cell r="J56" t="str">
            <v>Rs. 2000/-</v>
          </cell>
          <cell r="K56" t="str">
            <v>Rupees Two Thousand</v>
          </cell>
          <cell r="L56" t="str">
            <v>Rupees Two Thousand only</v>
          </cell>
        </row>
        <row r="57">
          <cell r="A57">
            <v>535</v>
          </cell>
          <cell r="B57" t="str">
            <v>Donation - Ordinary Membership</v>
          </cell>
          <cell r="C57" t="str">
            <v>Ordinary Membership - New</v>
          </cell>
          <cell r="D57" t="str">
            <v>AS Unnikrishnan</v>
          </cell>
          <cell r="E57">
            <v>45536</v>
          </cell>
          <cell r="F57" t="str">
            <v>UPI/424520271036/CR/A SUNNIKRISHNAN/HDF/BYS MEMB</v>
          </cell>
          <cell r="G57" t="str">
            <v>NEFT</v>
          </cell>
          <cell r="I57">
            <v>600</v>
          </cell>
          <cell r="J57" t="str">
            <v>Rs. 600/-</v>
          </cell>
          <cell r="K57" t="str">
            <v>Rupees Six Hundred</v>
          </cell>
          <cell r="L57" t="str">
            <v>Rupees Six Hundred only</v>
          </cell>
        </row>
        <row r="58">
          <cell r="A58">
            <v>536</v>
          </cell>
          <cell r="B58" t="str">
            <v>Donation - Waynad Relief Fund</v>
          </cell>
          <cell r="C58" t="str">
            <v>Charity</v>
          </cell>
          <cell r="D58" t="str">
            <v>Mohanan Manithra</v>
          </cell>
          <cell r="E58">
            <v>45537</v>
          </cell>
          <cell r="F58" t="str">
            <v>IMPS/424612212351/MOHANM/ICIC/XXXX116072/-</v>
          </cell>
          <cell r="G58" t="str">
            <v>NEFT</v>
          </cell>
          <cell r="I58">
            <v>5000</v>
          </cell>
          <cell r="J58" t="str">
            <v>Rs. 5000/-</v>
          </cell>
          <cell r="K58" t="str">
            <v>Rupees Five Thousand</v>
          </cell>
          <cell r="L58" t="str">
            <v>Rupees Five Thousand only</v>
          </cell>
        </row>
        <row r="59">
          <cell r="A59">
            <v>537</v>
          </cell>
          <cell r="B59" t="str">
            <v>Donation - Onam Progamme</v>
          </cell>
          <cell r="C59" t="str">
            <v>Onam Pgm</v>
          </cell>
          <cell r="D59" t="str">
            <v>Prasad Kainikkara</v>
          </cell>
          <cell r="E59">
            <v>45538</v>
          </cell>
          <cell r="F59" t="str">
            <v>NEFT-ICIC-HS92424756136891-KAINIKKARA-NEFT//PRAS</v>
          </cell>
          <cell r="G59" t="str">
            <v>NEFT</v>
          </cell>
          <cell r="I59">
            <v>5000</v>
          </cell>
          <cell r="J59" t="str">
            <v>Rs. 5000/-</v>
          </cell>
          <cell r="K59" t="str">
            <v>Rupees Five Thousand</v>
          </cell>
          <cell r="L59" t="str">
            <v>Rupees Five Thousand only</v>
          </cell>
        </row>
        <row r="60">
          <cell r="A60">
            <v>538</v>
          </cell>
          <cell r="B60" t="str">
            <v>Donation - Waynad Relief Fund</v>
          </cell>
          <cell r="C60" t="str">
            <v>Charity</v>
          </cell>
          <cell r="D60" t="str">
            <v>Narayan</v>
          </cell>
          <cell r="E60">
            <v>45539</v>
          </cell>
          <cell r="F60" t="str">
            <v>IMPS/424808912025/NARAYAN/ICIC/XXXX022631/-</v>
          </cell>
          <cell r="G60" t="str">
            <v>NEFT</v>
          </cell>
          <cell r="I60">
            <v>1000</v>
          </cell>
          <cell r="J60" t="str">
            <v>Rs. 1000/-</v>
          </cell>
          <cell r="K60" t="str">
            <v>Rupees One Thousand</v>
          </cell>
          <cell r="L60" t="str">
            <v>Rupees One Thousand only</v>
          </cell>
        </row>
        <row r="61">
          <cell r="A61">
            <v>539</v>
          </cell>
          <cell r="B61" t="str">
            <v>Donation - Waynad Relief Fund</v>
          </cell>
          <cell r="C61" t="str">
            <v>Charity</v>
          </cell>
          <cell r="D61" t="str">
            <v>Mohanakrishnan</v>
          </cell>
          <cell r="E61">
            <v>45539</v>
          </cell>
          <cell r="F61" t="str">
            <v>UPI/424881818552/CR/SARASWATHY C P/SBI/A HELP FO</v>
          </cell>
          <cell r="G61" t="str">
            <v>NEFT</v>
          </cell>
          <cell r="I61">
            <v>3000</v>
          </cell>
          <cell r="J61" t="str">
            <v>Rs. 3000/-</v>
          </cell>
          <cell r="K61" t="str">
            <v>Rupees Three Thousand</v>
          </cell>
          <cell r="L61" t="str">
            <v>Rupees Three Thousand only</v>
          </cell>
        </row>
        <row r="62">
          <cell r="A62">
            <v>540</v>
          </cell>
          <cell r="B62" t="str">
            <v>Donation - Waynad Relief Fund</v>
          </cell>
          <cell r="C62" t="str">
            <v>Charity</v>
          </cell>
          <cell r="D62" t="str">
            <v>Praveen Makkantheri</v>
          </cell>
          <cell r="E62">
            <v>45543</v>
          </cell>
          <cell r="F62" t="str">
            <v>NEFT-SBIN-SBIN424252308297-MRPRAVEEN-/ATTN//INB</v>
          </cell>
          <cell r="G62" t="str">
            <v>NEFT</v>
          </cell>
          <cell r="I62">
            <v>1000</v>
          </cell>
          <cell r="J62" t="str">
            <v>Rs. 1000/-</v>
          </cell>
          <cell r="K62" t="str">
            <v>Rupees One Thousand</v>
          </cell>
          <cell r="L62" t="str">
            <v>Rupees One Thousand only</v>
          </cell>
        </row>
        <row r="63">
          <cell r="A63">
            <v>541</v>
          </cell>
          <cell r="B63" t="str">
            <v>Donation - Waynad Relief Fund / Annual Pgm</v>
          </cell>
          <cell r="C63" t="str">
            <v>Charity / Annual</v>
          </cell>
          <cell r="D63" t="str">
            <v>Sreenivas Kookampara</v>
          </cell>
          <cell r="E63">
            <v>45546</v>
          </cell>
          <cell r="F63" t="str">
            <v>NEFT-FDRL-FDRLM8255396581-SREENIVAS -//INFO1</v>
          </cell>
          <cell r="G63" t="str">
            <v>NEFT</v>
          </cell>
          <cell r="I63">
            <v>5000</v>
          </cell>
          <cell r="J63" t="str">
            <v>Rs. 5000/-</v>
          </cell>
          <cell r="K63" t="str">
            <v>Rupees Five Thousand</v>
          </cell>
          <cell r="L63" t="str">
            <v>Rupees Five Thousand only</v>
          </cell>
        </row>
        <row r="64">
          <cell r="A64">
            <v>542</v>
          </cell>
          <cell r="B64" t="str">
            <v>Donation - Waynad Relief Fund / Annual Pgm</v>
          </cell>
          <cell r="C64" t="str">
            <v>Charity / Annual</v>
          </cell>
          <cell r="D64" t="str">
            <v>Contibution of Hareesh Pillanezhi</v>
          </cell>
          <cell r="E64">
            <v>45546</v>
          </cell>
          <cell r="F64" t="str">
            <v>IMPS/425521115741/JAYANTH/XXXX/XXXX208074/-</v>
          </cell>
          <cell r="G64" t="str">
            <v>NEFT</v>
          </cell>
          <cell r="I64">
            <v>5000</v>
          </cell>
          <cell r="J64" t="str">
            <v>Rs. 5000/-</v>
          </cell>
          <cell r="K64" t="str">
            <v>Rupees Five Thousand</v>
          </cell>
          <cell r="L64" t="str">
            <v>Rupees Five Thousand only</v>
          </cell>
        </row>
        <row r="65">
          <cell r="A65">
            <v>543</v>
          </cell>
          <cell r="B65" t="str">
            <v>Donation - Waynad Relief Fund</v>
          </cell>
          <cell r="C65" t="str">
            <v>Charity</v>
          </cell>
          <cell r="D65" t="str">
            <v>Radhika Subhramanian</v>
          </cell>
          <cell r="E65">
            <v>45546</v>
          </cell>
          <cell r="F65" t="str">
            <v>IMPS/425521116481/JAYANTH/XXXX/XXXX208074/-</v>
          </cell>
          <cell r="G65" t="str">
            <v>NEFT</v>
          </cell>
          <cell r="I65">
            <v>1000</v>
          </cell>
          <cell r="J65" t="str">
            <v>Rs. 1000/-</v>
          </cell>
          <cell r="K65" t="str">
            <v>Rupees One Thousand</v>
          </cell>
          <cell r="L65" t="str">
            <v>Rupees One Thousand only</v>
          </cell>
        </row>
        <row r="66">
          <cell r="A66">
            <v>544</v>
          </cell>
          <cell r="B66" t="str">
            <v>Donation - Waynad Relief Fund</v>
          </cell>
          <cell r="C66" t="str">
            <v>Charity</v>
          </cell>
          <cell r="D66" t="str">
            <v>Rahul Subhramanian</v>
          </cell>
          <cell r="E66">
            <v>45546</v>
          </cell>
          <cell r="F66" t="str">
            <v>IMPS/425521116481/JAYANTH/XXXX/XXXX208074/-</v>
          </cell>
          <cell r="G66" t="str">
            <v>NEFT</v>
          </cell>
          <cell r="I66">
            <v>1000</v>
          </cell>
          <cell r="J66" t="str">
            <v>Rs. 1000/-</v>
          </cell>
          <cell r="K66" t="str">
            <v>Rupees One Thousand</v>
          </cell>
          <cell r="L66" t="str">
            <v>Rupees One Thousand only</v>
          </cell>
        </row>
        <row r="67">
          <cell r="A67">
            <v>545</v>
          </cell>
          <cell r="B67" t="str">
            <v>Donation - Waynad Relief Fund</v>
          </cell>
          <cell r="C67" t="str">
            <v>Charity</v>
          </cell>
          <cell r="D67" t="str">
            <v>Murali KD</v>
          </cell>
          <cell r="E67">
            <v>45546</v>
          </cell>
          <cell r="F67" t="str">
            <v>IMPS/425521116481/JAYANTH/XXXX/XXXX208074/-</v>
          </cell>
          <cell r="G67" t="str">
            <v>NEFT</v>
          </cell>
          <cell r="I67">
            <v>500</v>
          </cell>
          <cell r="J67" t="str">
            <v>Rs. 500/-</v>
          </cell>
          <cell r="K67" t="str">
            <v>Rupees Five Hundred</v>
          </cell>
          <cell r="L67" t="str">
            <v>Rupees Five Hundred only</v>
          </cell>
        </row>
        <row r="68">
          <cell r="A68">
            <v>546</v>
          </cell>
          <cell r="B68" t="str">
            <v>Donation - Waynad Relief Fund</v>
          </cell>
          <cell r="C68" t="str">
            <v>Charity</v>
          </cell>
          <cell r="D68" t="str">
            <v>Sooraj Nhaloor</v>
          </cell>
          <cell r="E68">
            <v>45546</v>
          </cell>
          <cell r="F68" t="str">
            <v>IMPS/425521116481/JAYANTH/XXXX/XXXX208074/-</v>
          </cell>
          <cell r="G68" t="str">
            <v>NEFT</v>
          </cell>
          <cell r="I68">
            <v>1000</v>
          </cell>
          <cell r="J68" t="str">
            <v>Rs. 1000/-</v>
          </cell>
          <cell r="K68" t="str">
            <v>Rupees One Thousand</v>
          </cell>
          <cell r="L68" t="str">
            <v>Rupees One Thousand only</v>
          </cell>
        </row>
        <row r="69">
          <cell r="A69">
            <v>547</v>
          </cell>
          <cell r="B69" t="str">
            <v>Donation - Waynad Relief Fund</v>
          </cell>
          <cell r="C69" t="str">
            <v>Charity</v>
          </cell>
          <cell r="D69" t="str">
            <v>Jayanthan</v>
          </cell>
          <cell r="E69">
            <v>45546</v>
          </cell>
          <cell r="F69" t="str">
            <v>IMPS/425521112960/JAYANTH/XXXX/XXXX208074/-</v>
          </cell>
          <cell r="G69" t="str">
            <v>NEFT</v>
          </cell>
          <cell r="I69">
            <v>2000</v>
          </cell>
          <cell r="J69" t="str">
            <v>Rs. 2000/-</v>
          </cell>
          <cell r="K69" t="str">
            <v>Rupees Two Thousand</v>
          </cell>
          <cell r="L69" t="str">
            <v>Rupees Two Thousand only</v>
          </cell>
        </row>
        <row r="70">
          <cell r="A70">
            <v>548</v>
          </cell>
          <cell r="B70" t="str">
            <v>Donation - Waynad Relief Fund</v>
          </cell>
          <cell r="C70" t="str">
            <v>Charity</v>
          </cell>
          <cell r="D70" t="str">
            <v>Nitya Murali</v>
          </cell>
          <cell r="E70">
            <v>45548</v>
          </cell>
          <cell r="F70" t="str">
            <v>IMPS/425719428222/NITYATR/UTIB/XXXX198221/-</v>
          </cell>
          <cell r="G70" t="str">
            <v>NEFT</v>
          </cell>
          <cell r="I70">
            <v>2001</v>
          </cell>
          <cell r="J70" t="str">
            <v>Rs. 2001/-</v>
          </cell>
          <cell r="K70" t="str">
            <v>Rupees Two Thousand One</v>
          </cell>
          <cell r="L70" t="str">
            <v>Rupees Two Thousand One only</v>
          </cell>
        </row>
        <row r="71">
          <cell r="A71">
            <v>549</v>
          </cell>
          <cell r="B71" t="str">
            <v>Donation - Waynad Relief Fund</v>
          </cell>
          <cell r="C71" t="str">
            <v>Charity</v>
          </cell>
          <cell r="D71" t="str">
            <v>Ravi PM</v>
          </cell>
          <cell r="E71">
            <v>45549</v>
          </cell>
          <cell r="F71" t="str">
            <v>UPI/425897173646/CR/RAVIPAZHAYATHMA/KKB/UPI</v>
          </cell>
          <cell r="G71" t="str">
            <v>NEFT</v>
          </cell>
          <cell r="I71">
            <v>1000</v>
          </cell>
          <cell r="J71" t="str">
            <v>Rs. 1000/-</v>
          </cell>
          <cell r="K71" t="str">
            <v>Rupees One Thousand</v>
          </cell>
          <cell r="L71" t="str">
            <v>Rupees One Thousand only</v>
          </cell>
        </row>
        <row r="72">
          <cell r="A72">
            <v>550</v>
          </cell>
          <cell r="B72" t="str">
            <v>Donation - Waynad Relief Fund - 2500 Onam Pgm - 2500
Annual Pgm - 5000</v>
          </cell>
          <cell r="C72" t="str">
            <v>Charity</v>
          </cell>
          <cell r="D72" t="str">
            <v>Nithesh Earkkara</v>
          </cell>
          <cell r="E72">
            <v>45549</v>
          </cell>
          <cell r="F72" t="str">
            <v>NEFT-ICIC-HS92425857540698-NITHESHERA-NEFT//PROG</v>
          </cell>
          <cell r="G72" t="str">
            <v>NEFT</v>
          </cell>
          <cell r="I72">
            <v>10000</v>
          </cell>
          <cell r="J72" t="str">
            <v>Rs. 10000/-</v>
          </cell>
          <cell r="K72" t="str">
            <v>Rupees Ten Thousand</v>
          </cell>
          <cell r="L72" t="str">
            <v>Rupees Ten Thousand only</v>
          </cell>
        </row>
        <row r="73">
          <cell r="A73">
            <v>551</v>
          </cell>
          <cell r="B73" t="str">
            <v>Donation - Waynad Relief Fund / Annual Pgm</v>
          </cell>
          <cell r="C73" t="str">
            <v>Charity</v>
          </cell>
          <cell r="D73" t="str">
            <v>Contribution of Suraj AD</v>
          </cell>
          <cell r="E73">
            <v>45549</v>
          </cell>
          <cell r="F73" t="str">
            <v>UPI/425801641470/CR/JAYANTHANN NAMBO/HDF/SURAJ C</v>
          </cell>
          <cell r="G73" t="str">
            <v>NEFT</v>
          </cell>
          <cell r="I73">
            <v>2000</v>
          </cell>
          <cell r="J73" t="str">
            <v>Rs. 2000/-</v>
          </cell>
          <cell r="K73" t="str">
            <v>Rupees Two Thousand</v>
          </cell>
          <cell r="L73" t="str">
            <v>Rupees Two Thousand only</v>
          </cell>
        </row>
        <row r="74">
          <cell r="A74">
            <v>552</v>
          </cell>
          <cell r="B74" t="str">
            <v>Donation - Waynad Relief Fund</v>
          </cell>
          <cell r="C74" t="str">
            <v>Charity</v>
          </cell>
          <cell r="D74" t="str">
            <v>Pratik Namboodiri</v>
          </cell>
          <cell r="E74">
            <v>45550</v>
          </cell>
          <cell r="F74" t="str">
            <v>UPI/023985921988/CR/PRATIK KNAMBOODI/HDF/WAYANAD</v>
          </cell>
          <cell r="G74" t="str">
            <v>NEFT</v>
          </cell>
          <cell r="I74">
            <v>5000</v>
          </cell>
          <cell r="J74" t="str">
            <v>Rs. 5000/-</v>
          </cell>
          <cell r="K74" t="str">
            <v>Rupees Five Thousand</v>
          </cell>
          <cell r="L74" t="str">
            <v>Rupees Five Thousand only</v>
          </cell>
        </row>
        <row r="75">
          <cell r="A75">
            <v>553</v>
          </cell>
          <cell r="B75" t="str">
            <v>Donation - Welfare Fund</v>
          </cell>
          <cell r="C75" t="str">
            <v>Welfare Fund</v>
          </cell>
          <cell r="D75" t="str">
            <v>AD Madhavan</v>
          </cell>
          <cell r="E75">
            <v>45554</v>
          </cell>
          <cell r="F75" t="str">
            <v>UPI/426349742908/CR/A DMADHAVAN/BKI/CHARITTY</v>
          </cell>
          <cell r="G75" t="str">
            <v>NEFT</v>
          </cell>
          <cell r="I75">
            <v>20000</v>
          </cell>
          <cell r="J75" t="str">
            <v>Rs. 20000/-</v>
          </cell>
          <cell r="K75" t="str">
            <v>Rupees Twenty Thousand</v>
          </cell>
          <cell r="L75" t="str">
            <v>Rupees Twenty Thousand only</v>
          </cell>
        </row>
        <row r="76">
          <cell r="A76">
            <v>554</v>
          </cell>
          <cell r="B76" t="str">
            <v>Donation - Onam Progamme</v>
          </cell>
          <cell r="C76" t="str">
            <v>Onam Pgm</v>
          </cell>
          <cell r="D76" t="str">
            <v>AS Unnikrishnan</v>
          </cell>
          <cell r="E76">
            <v>45556</v>
          </cell>
          <cell r="F76" t="str">
            <v>UPI/426502477506/CR/A SUNNIKRISHNAN/HDF/ONAM CEL</v>
          </cell>
          <cell r="G76" t="str">
            <v>NEFT</v>
          </cell>
          <cell r="I76">
            <v>6000</v>
          </cell>
          <cell r="J76" t="str">
            <v>Rs. 6000/-</v>
          </cell>
          <cell r="K76" t="str">
            <v>Rupees Six Thousand</v>
          </cell>
          <cell r="L76" t="str">
            <v>Rupees Six Thousand only</v>
          </cell>
        </row>
        <row r="77">
          <cell r="A77">
            <v>555</v>
          </cell>
          <cell r="B77" t="str">
            <v>Donation - Onam Progamme</v>
          </cell>
          <cell r="C77" t="str">
            <v>Onam Pgm</v>
          </cell>
          <cell r="D77" t="str">
            <v>Ajit K Mullamangalam</v>
          </cell>
          <cell r="E77">
            <v>45556</v>
          </cell>
          <cell r="F77" t="str">
            <v>UPI/426555003150/CR/AJIT KMULLAMANGA/CNR/M AJIT</v>
          </cell>
          <cell r="G77" t="str">
            <v>NEFT</v>
          </cell>
          <cell r="I77">
            <v>2000</v>
          </cell>
          <cell r="J77" t="str">
            <v>Rs. 2000/-</v>
          </cell>
          <cell r="K77" t="str">
            <v>Rupees Two Thousand</v>
          </cell>
          <cell r="L77" t="str">
            <v>Rupees Two Thousand only</v>
          </cell>
        </row>
        <row r="78">
          <cell r="A78">
            <v>556</v>
          </cell>
          <cell r="B78" t="str">
            <v>Donation - Onam Progamme</v>
          </cell>
          <cell r="C78" t="str">
            <v>Onam Pgm</v>
          </cell>
          <cell r="D78" t="str">
            <v>Surendran Mallisseri</v>
          </cell>
          <cell r="E78">
            <v>45556</v>
          </cell>
          <cell r="F78" t="str">
            <v>UPI/426555214868/CR/AJIT KMULLAMANGA/CNR/UPI</v>
          </cell>
          <cell r="G78" t="str">
            <v>NEFT</v>
          </cell>
          <cell r="I78">
            <v>2000</v>
          </cell>
          <cell r="J78" t="str">
            <v>Rs. 2000/-</v>
          </cell>
          <cell r="K78" t="str">
            <v>Rupees Two Thousand</v>
          </cell>
          <cell r="L78" t="str">
            <v>Rupees Two Thousand only</v>
          </cell>
        </row>
        <row r="79">
          <cell r="A79">
            <v>557</v>
          </cell>
          <cell r="B79" t="str">
            <v>Donation - Onam Progamme</v>
          </cell>
          <cell r="C79" t="str">
            <v>Onam Pgm</v>
          </cell>
          <cell r="D79" t="str">
            <v>Madavu Vishnu</v>
          </cell>
          <cell r="E79">
            <v>45556</v>
          </cell>
          <cell r="F79" t="str">
            <v>UPI/426556949084/CR/AJIT KMULLAMANGA/CNR/UPI</v>
          </cell>
          <cell r="G79" t="str">
            <v>NEFT</v>
          </cell>
          <cell r="I79">
            <v>2000</v>
          </cell>
          <cell r="J79" t="str">
            <v>Rs. 2000/-</v>
          </cell>
          <cell r="K79" t="str">
            <v>Rupees Two Thousand</v>
          </cell>
          <cell r="L79" t="str">
            <v>Rupees Two Thousand only</v>
          </cell>
        </row>
        <row r="80">
          <cell r="A80">
            <v>558</v>
          </cell>
          <cell r="B80" t="str">
            <v>Donation - Onam Progamme</v>
          </cell>
          <cell r="C80" t="str">
            <v>Onam Pgm</v>
          </cell>
          <cell r="D80" t="str">
            <v>CMS Sarman</v>
          </cell>
          <cell r="E80">
            <v>45556</v>
          </cell>
          <cell r="G80" t="str">
            <v>Cash</v>
          </cell>
          <cell r="I80">
            <v>5000</v>
          </cell>
          <cell r="J80" t="str">
            <v>Rs. 5000/-</v>
          </cell>
          <cell r="K80" t="str">
            <v>Rupees Five Thousand</v>
          </cell>
          <cell r="L80" t="str">
            <v>Rupees Five Thousand only</v>
          </cell>
        </row>
        <row r="81">
          <cell r="A81">
            <v>559</v>
          </cell>
          <cell r="B81" t="str">
            <v>Donation - Onam Progamme</v>
          </cell>
          <cell r="C81" t="str">
            <v>Onam Pgm</v>
          </cell>
          <cell r="D81" t="str">
            <v>Suresh N.</v>
          </cell>
          <cell r="E81">
            <v>45557</v>
          </cell>
          <cell r="F81" t="str">
            <v>IMPS/426612028316/SURESHN/UTIB/XXXX050670/-</v>
          </cell>
          <cell r="G81" t="str">
            <v>NEFT</v>
          </cell>
          <cell r="I81">
            <v>3000</v>
          </cell>
          <cell r="J81" t="str">
            <v>Rs. 3000/-</v>
          </cell>
          <cell r="K81" t="str">
            <v>Rupees Three Thousand</v>
          </cell>
          <cell r="L81" t="str">
            <v>Rupees Three Thousand only</v>
          </cell>
        </row>
        <row r="82">
          <cell r="A82">
            <v>560</v>
          </cell>
          <cell r="B82" t="str">
            <v>Donation - Ordinary Membership</v>
          </cell>
          <cell r="C82" t="str">
            <v>Onam Pgm</v>
          </cell>
          <cell r="D82" t="str">
            <v>Devadathan M</v>
          </cell>
          <cell r="E82">
            <v>45558</v>
          </cell>
          <cell r="F82" t="str">
            <v>UPI/426717144167/CR/MDEVADATHAN/FDR/DEVADATHA</v>
          </cell>
          <cell r="G82" t="str">
            <v>NEFT</v>
          </cell>
          <cell r="I82">
            <v>600</v>
          </cell>
          <cell r="J82" t="str">
            <v>Rs. 600/-</v>
          </cell>
          <cell r="K82" t="str">
            <v>Rupees Six Hundred</v>
          </cell>
          <cell r="L82" t="str">
            <v>Rupees Six Hundred only</v>
          </cell>
        </row>
        <row r="83">
          <cell r="A83">
            <v>561</v>
          </cell>
          <cell r="B83" t="str">
            <v>Donation - OM - 300
Donation - Onam Pgm - 700</v>
          </cell>
          <cell r="C83" t="str">
            <v>Onam Pgm</v>
          </cell>
          <cell r="D83" t="str">
            <v>Jayesh Punneri</v>
          </cell>
          <cell r="E83">
            <v>45559</v>
          </cell>
          <cell r="F83" t="str">
            <v>NEFT-FDRL-FDRLM8268956997-JAYESH PUN-//INFO1</v>
          </cell>
          <cell r="G83" t="str">
            <v>NEFT</v>
          </cell>
          <cell r="I83">
            <v>1000</v>
          </cell>
          <cell r="J83" t="str">
            <v>Rs. 1000/-</v>
          </cell>
          <cell r="K83" t="str">
            <v>Rupees One Thousand</v>
          </cell>
          <cell r="L83" t="str">
            <v>Rupees One Thousand only</v>
          </cell>
        </row>
        <row r="84">
          <cell r="A84">
            <v>562</v>
          </cell>
          <cell r="B84" t="str">
            <v>Donation - Onam Progamme</v>
          </cell>
          <cell r="C84" t="str">
            <v>Onam Pgm</v>
          </cell>
          <cell r="D84" t="str">
            <v>Unnikrishnan T R</v>
          </cell>
          <cell r="E84">
            <v>45560</v>
          </cell>
          <cell r="F84" t="str">
            <v>NEFT-HDFC-N269243285553857-ATHIRA VAS-TR UNNIKRI</v>
          </cell>
          <cell r="G84" t="str">
            <v>NEFT</v>
          </cell>
          <cell r="I84">
            <v>3000</v>
          </cell>
          <cell r="J84" t="str">
            <v>Rs. 3000/-</v>
          </cell>
          <cell r="K84" t="str">
            <v>Rupees Three Thousand</v>
          </cell>
          <cell r="L84" t="str">
            <v>Rupees Three Thousand only</v>
          </cell>
        </row>
        <row r="85">
          <cell r="A85">
            <v>563</v>
          </cell>
          <cell r="B85" t="str">
            <v>Donation - Onam Progamme</v>
          </cell>
          <cell r="C85" t="str">
            <v>Onam Pgm</v>
          </cell>
          <cell r="D85" t="str">
            <v>Sudev T</v>
          </cell>
          <cell r="E85">
            <v>45560</v>
          </cell>
          <cell r="F85" t="str">
            <v>IMPS/426918385928/SUDEVT/XXXX/XXXX104991/-</v>
          </cell>
          <cell r="G85" t="str">
            <v>NEFT</v>
          </cell>
          <cell r="I85">
            <v>1500</v>
          </cell>
          <cell r="J85" t="str">
            <v>Rs. 1500/-</v>
          </cell>
          <cell r="K85" t="str">
            <v>Rupees One Thousand Five Hundred</v>
          </cell>
          <cell r="L85" t="str">
            <v>Rupees One Thousand Five Hundred only</v>
          </cell>
        </row>
        <row r="86">
          <cell r="A86">
            <v>564</v>
          </cell>
          <cell r="B86" t="str">
            <v>Donation - OM - 300  
Donation - Onam Pgm - 700</v>
          </cell>
          <cell r="C86" t="str">
            <v>Onam Pgm</v>
          </cell>
          <cell r="D86" t="str">
            <v>Krishnan K M</v>
          </cell>
          <cell r="E86">
            <v>45561</v>
          </cell>
          <cell r="F86" t="str">
            <v>IMPS/427014319404/ANANYA/XXXX/XXXX829162/-</v>
          </cell>
          <cell r="G86" t="str">
            <v>NEFT</v>
          </cell>
          <cell r="I86">
            <v>1000</v>
          </cell>
          <cell r="J86" t="str">
            <v>Rs. 1000/-</v>
          </cell>
          <cell r="K86" t="str">
            <v>Rupees One Thousand</v>
          </cell>
          <cell r="L86" t="str">
            <v>Rupees One Thousand only</v>
          </cell>
        </row>
        <row r="87">
          <cell r="A87">
            <v>565</v>
          </cell>
          <cell r="B87" t="str">
            <v>Donation - OM - 300  
Donation - Onam Pgm - 2700</v>
          </cell>
          <cell r="C87" t="str">
            <v>Onam Pgm</v>
          </cell>
          <cell r="D87" t="str">
            <v>Damodaran Namboodiri</v>
          </cell>
          <cell r="E87">
            <v>45562</v>
          </cell>
          <cell r="F87" t="str">
            <v>NEFT-HDFC-N271243288763980-DAMODARAN -MANU PAYAP</v>
          </cell>
          <cell r="G87" t="str">
            <v>NEFT</v>
          </cell>
          <cell r="I87">
            <v>3000</v>
          </cell>
          <cell r="J87" t="str">
            <v>Rs. 3000/-</v>
          </cell>
          <cell r="K87" t="str">
            <v>Rupees Three Thousand</v>
          </cell>
          <cell r="L87" t="str">
            <v>Rupees Three Thousand only</v>
          </cell>
        </row>
        <row r="88">
          <cell r="A88">
            <v>566</v>
          </cell>
          <cell r="B88" t="str">
            <v>Donation - Onam Progamme</v>
          </cell>
          <cell r="C88" t="str">
            <v>Onam Pgm</v>
          </cell>
          <cell r="D88" t="str">
            <v>Unni K S</v>
          </cell>
          <cell r="E88">
            <v>45562</v>
          </cell>
          <cell r="F88" t="str">
            <v>UPI/427153514311/CR/UNNI KS/BKI/UPI</v>
          </cell>
          <cell r="G88" t="str">
            <v>NEFT</v>
          </cell>
          <cell r="I88">
            <v>2000</v>
          </cell>
          <cell r="J88" t="str">
            <v>Rs. 2000/-</v>
          </cell>
          <cell r="K88" t="str">
            <v>Rupees Two Thousand</v>
          </cell>
          <cell r="L88" t="str">
            <v>Rupees Two Thousand only</v>
          </cell>
        </row>
        <row r="89">
          <cell r="A89">
            <v>567</v>
          </cell>
          <cell r="B89" t="str">
            <v>Donation - Onam Progamme</v>
          </cell>
          <cell r="C89" t="str">
            <v>Onam Pgm</v>
          </cell>
          <cell r="D89" t="str">
            <v>Vasudevan M R</v>
          </cell>
          <cell r="E89">
            <v>45563</v>
          </cell>
          <cell r="G89" t="str">
            <v>NEFT</v>
          </cell>
          <cell r="I89">
            <v>10000</v>
          </cell>
          <cell r="J89" t="str">
            <v>Rs. 10000/-</v>
          </cell>
          <cell r="K89" t="str">
            <v>Rupees Ten Thousand</v>
          </cell>
          <cell r="L89" t="str">
            <v>Rupees Ten Thousand only</v>
          </cell>
        </row>
        <row r="90">
          <cell r="A90">
            <v>568</v>
          </cell>
          <cell r="B90" t="str">
            <v>Donation - Onam Progamme</v>
          </cell>
          <cell r="C90" t="str">
            <v>Onam Pgm</v>
          </cell>
          <cell r="D90" t="str">
            <v>Krishnakumar M</v>
          </cell>
          <cell r="E90">
            <v>45563</v>
          </cell>
          <cell r="G90" t="str">
            <v>NEFT</v>
          </cell>
          <cell r="I90">
            <v>5000</v>
          </cell>
          <cell r="J90" t="str">
            <v>Rs. 5000/-</v>
          </cell>
          <cell r="K90" t="str">
            <v>Rupees Five Thousand</v>
          </cell>
          <cell r="L90" t="str">
            <v>Rupees Five Thousand only</v>
          </cell>
        </row>
        <row r="91">
          <cell r="A91">
            <v>569</v>
          </cell>
          <cell r="B91" t="str">
            <v>Donation - Onam Progamme</v>
          </cell>
          <cell r="C91" t="str">
            <v>Onam Pgm</v>
          </cell>
          <cell r="D91" t="str">
            <v>Manish Mundayoor</v>
          </cell>
          <cell r="E91">
            <v>45563</v>
          </cell>
          <cell r="G91" t="str">
            <v>NEFT</v>
          </cell>
          <cell r="I91">
            <v>5000</v>
          </cell>
          <cell r="J91" t="str">
            <v>Rs. 5000/-</v>
          </cell>
          <cell r="K91" t="str">
            <v>Rupees Five Thousand</v>
          </cell>
          <cell r="L91" t="str">
            <v>Rupees Five Thousand only</v>
          </cell>
        </row>
        <row r="92">
          <cell r="A92">
            <v>570</v>
          </cell>
          <cell r="B92" t="str">
            <v>Donation - Onam Progamme</v>
          </cell>
          <cell r="C92" t="str">
            <v>Onam Pgm</v>
          </cell>
          <cell r="D92" t="str">
            <v>Abhilash Mundayoor</v>
          </cell>
          <cell r="E92">
            <v>45563</v>
          </cell>
          <cell r="G92" t="str">
            <v>NEFT</v>
          </cell>
          <cell r="I92">
            <v>5000</v>
          </cell>
          <cell r="J92" t="str">
            <v>Rs. 5000/-</v>
          </cell>
          <cell r="K92" t="str">
            <v>Rupees Five Thousand</v>
          </cell>
          <cell r="L92" t="str">
            <v>Rupees Five Thousand only</v>
          </cell>
        </row>
        <row r="93">
          <cell r="A93">
            <v>571</v>
          </cell>
          <cell r="B93" t="str">
            <v>Donation - Onam Progamme</v>
          </cell>
          <cell r="C93" t="str">
            <v>Onam Pgm</v>
          </cell>
          <cell r="D93" t="str">
            <v>Jayashri Anujan</v>
          </cell>
          <cell r="E93">
            <v>45563</v>
          </cell>
          <cell r="G93" t="str">
            <v>NEFT</v>
          </cell>
          <cell r="I93">
            <v>3000</v>
          </cell>
          <cell r="J93" t="str">
            <v>Rs. 3000/-</v>
          </cell>
          <cell r="K93" t="str">
            <v>Rupees Three Thousand</v>
          </cell>
          <cell r="L93" t="str">
            <v>Rupees Three Thousand only</v>
          </cell>
        </row>
        <row r="94">
          <cell r="A94">
            <v>572</v>
          </cell>
          <cell r="B94" t="str">
            <v>Donation - Onam Progamme</v>
          </cell>
          <cell r="C94" t="str">
            <v>Onam Pgm</v>
          </cell>
          <cell r="D94" t="str">
            <v>Janardanan K. Namboodiri</v>
          </cell>
          <cell r="E94">
            <v>45563</v>
          </cell>
          <cell r="G94" t="str">
            <v>NEFT</v>
          </cell>
          <cell r="I94">
            <v>3000</v>
          </cell>
          <cell r="J94" t="str">
            <v>Rs. 3000/-</v>
          </cell>
          <cell r="K94" t="str">
            <v>Rupees Three Thousand</v>
          </cell>
          <cell r="L94" t="str">
            <v>Rupees Three Thousand only</v>
          </cell>
        </row>
        <row r="95">
          <cell r="A95">
            <v>573</v>
          </cell>
          <cell r="B95" t="str">
            <v>Donation - Onam Progamme</v>
          </cell>
          <cell r="C95" t="str">
            <v>Onam Pgm</v>
          </cell>
          <cell r="D95" t="str">
            <v>Parameswaran M</v>
          </cell>
          <cell r="E95">
            <v>45564</v>
          </cell>
          <cell r="G95" t="str">
            <v>NEFT</v>
          </cell>
          <cell r="I95">
            <v>3000</v>
          </cell>
          <cell r="J95" t="str">
            <v>Rs. 3000/-</v>
          </cell>
          <cell r="K95" t="str">
            <v>Rupees Three Thousand</v>
          </cell>
          <cell r="L95" t="str">
            <v>Rupees Three Thousand only</v>
          </cell>
        </row>
        <row r="96">
          <cell r="A96">
            <v>574</v>
          </cell>
          <cell r="B96" t="str">
            <v>Donation - Onam Progamme</v>
          </cell>
          <cell r="C96" t="str">
            <v>Onam Pgm</v>
          </cell>
          <cell r="D96" t="str">
            <v>Janardanan K. Namboodiri</v>
          </cell>
          <cell r="E96">
            <v>45564</v>
          </cell>
          <cell r="G96" t="str">
            <v>NEFT</v>
          </cell>
          <cell r="I96">
            <v>9000</v>
          </cell>
          <cell r="J96" t="str">
            <v>Rs. 9000/-</v>
          </cell>
          <cell r="K96" t="str">
            <v>Rupees Nine Thousand</v>
          </cell>
          <cell r="L96" t="str">
            <v>Rupees Nine Thousand only</v>
          </cell>
        </row>
        <row r="97">
          <cell r="A97">
            <v>575</v>
          </cell>
          <cell r="B97" t="str">
            <v>Donation - Onam Progamme</v>
          </cell>
          <cell r="C97" t="str">
            <v>Onam Pgm</v>
          </cell>
          <cell r="D97" t="str">
            <v>Sankaran Namboodiri P P</v>
          </cell>
          <cell r="E97">
            <v>45564</v>
          </cell>
          <cell r="G97" t="str">
            <v>NEFT</v>
          </cell>
          <cell r="I97">
            <v>500</v>
          </cell>
          <cell r="J97" t="str">
            <v>Rs. 500/-</v>
          </cell>
          <cell r="K97" t="str">
            <v>Rupees Five Hundred</v>
          </cell>
          <cell r="L97" t="str">
            <v>Rupees Five Hundred only</v>
          </cell>
        </row>
        <row r="103">
          <cell r="H103">
            <v>0</v>
          </cell>
          <cell r="I103">
            <v>313926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Receipt No.</v>
          </cell>
          <cell r="B1" t="str">
            <v>Towards</v>
          </cell>
          <cell r="C1" t="str">
            <v>Received From</v>
          </cell>
          <cell r="D1" t="str">
            <v>DATE</v>
          </cell>
          <cell r="E1" t="str">
            <v>COD</v>
          </cell>
          <cell r="F1" t="str">
            <v>Amount</v>
          </cell>
          <cell r="I1" t="str">
            <v>Amount in Words</v>
          </cell>
        </row>
        <row r="2">
          <cell r="A2">
            <v>480</v>
          </cell>
          <cell r="B2" t="str">
            <v>Donation - Anudanid Ashamrashala</v>
          </cell>
          <cell r="C2" t="str">
            <v>Jayanthan</v>
          </cell>
          <cell r="D2">
            <v>45420</v>
          </cell>
          <cell r="E2" t="str">
            <v>NEFT</v>
          </cell>
          <cell r="F2">
            <v>2000</v>
          </cell>
          <cell r="G2" t="str">
            <v>RS. 2000/-</v>
          </cell>
          <cell r="H2" t="str">
            <v>Rupees Two Thousand</v>
          </cell>
          <cell r="I2" t="str">
            <v>Rupees Two Thousand only</v>
          </cell>
        </row>
        <row r="3">
          <cell r="A3">
            <v>481</v>
          </cell>
          <cell r="B3" t="str">
            <v>Donation - Anudanid Ashamrashala</v>
          </cell>
          <cell r="C3" t="str">
            <v>Murali Kovoor</v>
          </cell>
          <cell r="D3">
            <v>45420</v>
          </cell>
          <cell r="E3" t="str">
            <v>NEFT</v>
          </cell>
          <cell r="F3">
            <v>1000</v>
          </cell>
          <cell r="G3" t="str">
            <v>RS. 1000/-</v>
          </cell>
          <cell r="H3" t="str">
            <v>Rupees One Thousand</v>
          </cell>
          <cell r="I3" t="str">
            <v>Rupees One Thousand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34"/>
  <sheetViews>
    <sheetView showGridLines="0" tabSelected="1" topLeftCell="A6" workbookViewId="0">
      <selection activeCell="B20" sqref="B20"/>
    </sheetView>
  </sheetViews>
  <sheetFormatPr defaultRowHeight="14.5" x14ac:dyDescent="0.35"/>
  <cols>
    <col min="1" max="1" width="3.26953125" customWidth="1"/>
    <col min="2" max="2" width="11.54296875" customWidth="1"/>
    <col min="3" max="3" width="22.7265625" customWidth="1"/>
    <col min="4" max="4" width="5" customWidth="1"/>
    <col min="5" max="5" width="5.08984375" bestFit="1" customWidth="1"/>
    <col min="7" max="7" width="14" customWidth="1"/>
    <col min="9" max="9" width="12.26953125" customWidth="1"/>
    <col min="10" max="10" width="16.26953125" customWidth="1"/>
    <col min="11" max="11" width="6.453125" customWidth="1"/>
  </cols>
  <sheetData>
    <row r="2" spans="1:11" ht="15" thickBot="1" x14ac:dyDescent="0.4"/>
    <row r="3" spans="1:11" ht="23.5" x14ac:dyDescent="0.55000000000000004">
      <c r="A3" s="4"/>
      <c r="B3" s="24" t="s">
        <v>8</v>
      </c>
      <c r="C3" s="24"/>
      <c r="D3" s="24"/>
      <c r="E3" s="24"/>
      <c r="F3" s="24"/>
      <c r="G3" s="24"/>
      <c r="H3" s="24"/>
      <c r="I3" s="24"/>
      <c r="J3" s="24"/>
      <c r="K3" s="5"/>
    </row>
    <row r="4" spans="1:11" x14ac:dyDescent="0.35">
      <c r="A4" s="6"/>
      <c r="B4" s="25" t="s">
        <v>0</v>
      </c>
      <c r="C4" s="25"/>
      <c r="D4" s="25"/>
      <c r="E4" s="25"/>
      <c r="F4" s="25"/>
      <c r="G4" s="25"/>
      <c r="H4" s="25"/>
      <c r="I4" s="25"/>
      <c r="J4" s="25"/>
      <c r="K4" s="7"/>
    </row>
    <row r="5" spans="1:11" x14ac:dyDescent="0.35">
      <c r="A5" s="6"/>
      <c r="B5" s="25" t="s">
        <v>1</v>
      </c>
      <c r="C5" s="25"/>
      <c r="D5" s="25"/>
      <c r="E5" s="25"/>
      <c r="F5" s="25"/>
      <c r="G5" s="25"/>
      <c r="H5" s="25"/>
      <c r="I5" s="25"/>
      <c r="J5" s="25"/>
      <c r="K5" s="7"/>
    </row>
    <row r="6" spans="1:11" ht="4.5" customHeight="1" thickBot="1" x14ac:dyDescent="0.4">
      <c r="A6" s="6"/>
      <c r="B6" s="23"/>
      <c r="C6" s="23"/>
      <c r="D6" s="23"/>
      <c r="E6" s="23"/>
      <c r="F6" s="23"/>
      <c r="G6" s="23"/>
      <c r="H6" s="23"/>
      <c r="I6" s="23"/>
      <c r="J6" s="23"/>
      <c r="K6" s="7"/>
    </row>
    <row r="7" spans="1:11" x14ac:dyDescent="0.35">
      <c r="A7" s="6"/>
      <c r="B7" s="22" t="s">
        <v>2</v>
      </c>
      <c r="C7" s="22"/>
      <c r="D7" s="22"/>
      <c r="E7" s="22"/>
      <c r="F7" s="22"/>
      <c r="G7" s="22"/>
      <c r="H7" s="22"/>
      <c r="I7" s="22"/>
      <c r="J7" s="22"/>
      <c r="K7" s="7"/>
    </row>
    <row r="8" spans="1:11" ht="15" thickBot="1" x14ac:dyDescent="0.4">
      <c r="A8" s="6"/>
      <c r="B8" s="23" t="s">
        <v>3</v>
      </c>
      <c r="C8" s="23"/>
      <c r="D8" s="23"/>
      <c r="E8" s="23"/>
      <c r="F8" s="23"/>
      <c r="G8" s="23"/>
      <c r="H8" s="23"/>
      <c r="I8" s="23"/>
      <c r="J8" s="23"/>
      <c r="K8" s="7"/>
    </row>
    <row r="9" spans="1:11" x14ac:dyDescent="0.35">
      <c r="A9" s="6"/>
      <c r="B9" s="1"/>
      <c r="C9" s="21" t="s">
        <v>10</v>
      </c>
      <c r="D9" s="21"/>
      <c r="E9" s="21"/>
      <c r="F9" s="21"/>
      <c r="G9" s="21"/>
      <c r="H9" s="1"/>
      <c r="I9" s="1"/>
      <c r="J9" s="1"/>
      <c r="K9" s="7"/>
    </row>
    <row r="10" spans="1:11" ht="15.5" x14ac:dyDescent="0.35">
      <c r="A10" s="6"/>
      <c r="B10" s="11" t="s">
        <v>4</v>
      </c>
      <c r="C10" s="12">
        <v>480</v>
      </c>
      <c r="D10" s="1"/>
      <c r="E10" s="1"/>
      <c r="F10" s="1"/>
      <c r="G10" s="1"/>
      <c r="H10" s="1"/>
      <c r="I10" s="20" t="s">
        <v>17</v>
      </c>
      <c r="J10" s="19">
        <f>VLOOKUP(C10,[1]Receipts!$A:$M,5,0)</f>
        <v>45420</v>
      </c>
      <c r="K10" s="7"/>
    </row>
    <row r="11" spans="1:11" x14ac:dyDescent="0.35">
      <c r="A11" s="6"/>
      <c r="B11" s="1"/>
      <c r="C11" s="1"/>
      <c r="D11" s="1"/>
      <c r="E11" s="1"/>
      <c r="F11" s="1"/>
      <c r="G11" s="1"/>
      <c r="H11" s="1"/>
      <c r="I11" s="1"/>
      <c r="J11" s="1"/>
      <c r="K11" s="7"/>
    </row>
    <row r="12" spans="1:11" x14ac:dyDescent="0.35">
      <c r="A12" s="6"/>
      <c r="B12" s="1" t="s">
        <v>9</v>
      </c>
      <c r="C12" s="1"/>
      <c r="D12" s="1"/>
      <c r="E12" s="1" t="str">
        <f>VLOOKUP(C10,[2]Sheet1!$A:$I,3,0)</f>
        <v>Jayanthan</v>
      </c>
      <c r="F12" s="1"/>
      <c r="G12" s="1"/>
      <c r="H12" s="1"/>
      <c r="I12" s="1"/>
      <c r="J12" s="1"/>
      <c r="K12" s="7"/>
    </row>
    <row r="13" spans="1:11" x14ac:dyDescent="0.35">
      <c r="A13" s="6"/>
      <c r="B13" s="1" t="s">
        <v>11</v>
      </c>
      <c r="C13" s="13" t="str">
        <f>VLOOKUP(C10,[2]Sheet1!$A:$I,8,0)</f>
        <v>Rupees Two Thousand</v>
      </c>
      <c r="D13" s="13"/>
      <c r="E13" s="13"/>
      <c r="F13" s="13"/>
      <c r="G13" s="13"/>
      <c r="H13" s="13"/>
      <c r="I13" s="13"/>
      <c r="J13" s="18"/>
      <c r="K13" s="7"/>
    </row>
    <row r="14" spans="1:11" x14ac:dyDescent="0.35">
      <c r="A14" s="6"/>
      <c r="B14" s="18"/>
      <c r="C14" s="18"/>
      <c r="D14" s="18"/>
      <c r="E14" s="10" t="s">
        <v>12</v>
      </c>
      <c r="F14" s="15" t="s">
        <v>13</v>
      </c>
      <c r="G14" s="16"/>
      <c r="H14" s="17" t="str">
        <f>VLOOKUP(C10,[2]Sheet1!$A:$I,5,0)</f>
        <v>NEFT</v>
      </c>
      <c r="I14" s="14"/>
      <c r="J14" s="14"/>
      <c r="K14" s="7"/>
    </row>
    <row r="15" spans="1:11" x14ac:dyDescent="0.35">
      <c r="A15" s="6"/>
      <c r="B15" s="1" t="s">
        <v>16</v>
      </c>
      <c r="C15" s="1"/>
      <c r="D15" s="1"/>
      <c r="E15" s="18"/>
      <c r="F15" s="18"/>
      <c r="G15" s="18"/>
      <c r="H15" s="18"/>
      <c r="I15" s="18"/>
      <c r="J15" s="14"/>
      <c r="K15" s="7"/>
    </row>
    <row r="16" spans="1:11" x14ac:dyDescent="0.35">
      <c r="A16" s="6"/>
      <c r="B16" s="1" t="s">
        <v>14</v>
      </c>
      <c r="C16" s="1"/>
      <c r="D16" s="1"/>
      <c r="F16" s="1" t="s">
        <v>15</v>
      </c>
      <c r="G16" s="18" t="str">
        <f>VLOOKUP(C10,[2]Sheet1!$A:$I,2,0)</f>
        <v>Donation - Anudanid Ashamrashala</v>
      </c>
      <c r="H16" s="18"/>
      <c r="I16" s="18"/>
      <c r="J16" s="18"/>
      <c r="K16" s="7"/>
    </row>
    <row r="17" spans="1:11" x14ac:dyDescent="0.35">
      <c r="A17" s="6"/>
      <c r="B17" s="1"/>
      <c r="C17" s="1"/>
      <c r="D17" s="1"/>
      <c r="E17" s="1"/>
      <c r="F17" s="1"/>
      <c r="G17" s="1"/>
      <c r="H17" s="1"/>
      <c r="I17" s="1"/>
      <c r="J17" s="1"/>
      <c r="K17" s="7"/>
    </row>
    <row r="18" spans="1:11" x14ac:dyDescent="0.35">
      <c r="A18" s="6"/>
      <c r="B18" s="1"/>
      <c r="C18" s="1"/>
      <c r="D18" s="1"/>
      <c r="E18" s="1"/>
      <c r="F18" s="1"/>
      <c r="G18" s="1"/>
      <c r="H18" s="1"/>
      <c r="I18" s="1"/>
      <c r="J18" s="1"/>
      <c r="K18" s="7"/>
    </row>
    <row r="19" spans="1:11" ht="16" thickBot="1" x14ac:dyDescent="0.4">
      <c r="A19" s="6"/>
      <c r="B19" s="3" t="str">
        <f>VLOOKUP(C10,[2]Sheet1!$A:$I,7,0)</f>
        <v>RS. 2000/-</v>
      </c>
      <c r="C19" s="1"/>
      <c r="D19" s="1"/>
      <c r="E19" s="1"/>
      <c r="F19" s="1"/>
      <c r="H19" s="11" t="s">
        <v>6</v>
      </c>
      <c r="I19" s="1"/>
      <c r="J19" s="1"/>
      <c r="K19" s="7"/>
    </row>
    <row r="20" spans="1:11" ht="15" thickTop="1" x14ac:dyDescent="0.35">
      <c r="A20" s="6"/>
      <c r="B20" s="1" t="s">
        <v>5</v>
      </c>
      <c r="C20" s="1"/>
      <c r="D20" s="1"/>
      <c r="E20" s="1"/>
      <c r="F20" s="1"/>
      <c r="G20" s="1"/>
      <c r="H20" s="1"/>
      <c r="I20" s="1"/>
      <c r="J20" s="1"/>
      <c r="K20" s="7"/>
    </row>
    <row r="21" spans="1:11" x14ac:dyDescent="0.35">
      <c r="A21" s="6"/>
      <c r="B21" s="1"/>
      <c r="C21" s="1"/>
      <c r="D21" s="1"/>
      <c r="E21" s="1"/>
      <c r="F21" s="1"/>
      <c r="G21" s="1"/>
      <c r="H21" s="1"/>
      <c r="I21" s="1"/>
      <c r="J21" s="1"/>
      <c r="K21" s="7"/>
    </row>
    <row r="22" spans="1:11" x14ac:dyDescent="0.35">
      <c r="A22" s="6"/>
      <c r="B22" s="1"/>
      <c r="C22" s="1"/>
      <c r="D22" s="1"/>
      <c r="E22" s="1"/>
      <c r="F22" s="1"/>
      <c r="G22" s="1"/>
      <c r="H22" s="1"/>
      <c r="I22" s="1"/>
      <c r="J22" s="1"/>
      <c r="K22" s="7"/>
    </row>
    <row r="23" spans="1:11" x14ac:dyDescent="0.35">
      <c r="A23" s="6"/>
      <c r="B23" s="1"/>
      <c r="C23" s="1"/>
      <c r="D23" s="1"/>
      <c r="E23" s="1"/>
      <c r="F23" s="1"/>
      <c r="G23" s="1"/>
      <c r="H23" s="1"/>
      <c r="I23" s="1" t="s">
        <v>7</v>
      </c>
      <c r="K23" s="7"/>
    </row>
    <row r="24" spans="1:11" ht="15" thickBot="1" x14ac:dyDescent="0.4">
      <c r="A24" s="8"/>
      <c r="B24" s="2"/>
      <c r="C24" s="2"/>
      <c r="D24" s="2"/>
      <c r="E24" s="2"/>
      <c r="F24" s="2"/>
      <c r="G24" s="2"/>
      <c r="H24" s="2"/>
      <c r="I24" s="2"/>
      <c r="J24" s="2"/>
      <c r="K24" s="9"/>
    </row>
    <row r="25" spans="1:1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7">
    <mergeCell ref="C9:G9"/>
    <mergeCell ref="B7:J7"/>
    <mergeCell ref="B8:J8"/>
    <mergeCell ref="B3:J3"/>
    <mergeCell ref="B4:J4"/>
    <mergeCell ref="B5:J5"/>
    <mergeCell ref="B6:J6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Jayanthan Namboodiripad</dc:creator>
  <cp:lastModifiedBy>Jayanthan Namboodiripad</cp:lastModifiedBy>
  <cp:lastPrinted>2024-09-28T20:10:06Z</cp:lastPrinted>
  <dcterms:created xsi:type="dcterms:W3CDTF">2020-05-31T12:42:38Z</dcterms:created>
  <dcterms:modified xsi:type="dcterms:W3CDTF">2024-10-13T13:58:39Z</dcterms:modified>
</cp:coreProperties>
</file>